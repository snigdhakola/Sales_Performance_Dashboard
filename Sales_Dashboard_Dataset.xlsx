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wnloads\"/>
    </mc:Choice>
  </mc:AlternateContent>
  <bookViews>
    <workbookView xWindow="0" yWindow="0" windowWidth="23040" windowHeight="9192" activeTab="2"/>
  </bookViews>
  <sheets>
    <sheet name="Sales_Data" sheetId="1" r:id="rId1"/>
    <sheet name="Sheet2" sheetId="3" r:id="rId2"/>
    <sheet name="Dashboard" sheetId="2" r:id="rId3"/>
  </sheets>
  <definedNames>
    <definedName name="Slicer_City">#N/A</definedName>
    <definedName name="Slicer_Product">#N/A</definedName>
    <definedName name="Slicer_Sales_Amount">#N/A</definedName>
    <definedName name="Slicer_Sales_Person">#N/A</definedName>
  </definedNames>
  <calcPr calcId="162913"/>
  <pivotCaches>
    <pivotCache cacheId="17" r:id="rId4"/>
    <pivotCache cacheId="1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 i="1"/>
</calcChain>
</file>

<file path=xl/sharedStrings.xml><?xml version="1.0" encoding="utf-8"?>
<sst xmlns="http://schemas.openxmlformats.org/spreadsheetml/2006/main" count="1278" uniqueCount="43">
  <si>
    <t>Order_ID</t>
  </si>
  <si>
    <t>Order_Date</t>
  </si>
  <si>
    <t>Region</t>
  </si>
  <si>
    <t>City</t>
  </si>
  <si>
    <t>Product_Category</t>
  </si>
  <si>
    <t>Product</t>
  </si>
  <si>
    <t>Sales_Person</t>
  </si>
  <si>
    <t>Channel</t>
  </si>
  <si>
    <t>Unit_Price</t>
  </si>
  <si>
    <t>Quantity</t>
  </si>
  <si>
    <t>Discount_%</t>
  </si>
  <si>
    <t>Sales_Amount</t>
  </si>
  <si>
    <t>East</t>
  </si>
  <si>
    <t>Patna</t>
  </si>
  <si>
    <t>Electronics</t>
  </si>
  <si>
    <t>Tablet</t>
  </si>
  <si>
    <t>Neha</t>
  </si>
  <si>
    <t>Online</t>
  </si>
  <si>
    <t>Laptop</t>
  </si>
  <si>
    <t>Amit</t>
  </si>
  <si>
    <t>Priya</t>
  </si>
  <si>
    <t>Offline</t>
  </si>
  <si>
    <t>West</t>
  </si>
  <si>
    <t>Pune</t>
  </si>
  <si>
    <t>Kolkata</t>
  </si>
  <si>
    <t>Mobile</t>
  </si>
  <si>
    <t>Rahul</t>
  </si>
  <si>
    <t>Mumbai</t>
  </si>
  <si>
    <t>South</t>
  </si>
  <si>
    <t>Bangalore</t>
  </si>
  <si>
    <t>Chennai</t>
  </si>
  <si>
    <t>North</t>
  </si>
  <si>
    <t>Jaipur</t>
  </si>
  <si>
    <t>Delhi</t>
  </si>
  <si>
    <t>Hyderabad</t>
  </si>
  <si>
    <t>Year</t>
  </si>
  <si>
    <t>Month</t>
  </si>
  <si>
    <t>Row Labels</t>
  </si>
  <si>
    <t>Grand Total</t>
  </si>
  <si>
    <t>Sum of Sales_Amount</t>
  </si>
  <si>
    <t>(blank)</t>
  </si>
  <si>
    <t>Count of Sales_Amount</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</si>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</sst>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4" x14ac:knownFonts="1">
    <font>
      <sz val="11"/>
      <color theme="1"/>
      <name val="Calibri"/>
      <family val="2"/>
      <scheme val="minor"/>
    </font>
    <font>
      <sz val="11"/>
      <color theme="0"/>
      <name val="Arial Black"/>
      <family val="2"/>
    </font>
    <font>
      <sz val="26"/>
      <color theme="0"/>
      <name val="Arial Black"/>
      <family val="2"/>
    </font>
    <font>
      <sz val="26"/>
      <color theme="1"/>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2" borderId="0" xfId="0" applyFill="1"/>
    <xf numFmtId="0" fontId="1" fillId="2" borderId="0" xfId="0" applyFont="1" applyFill="1"/>
    <xf numFmtId="0" fontId="2" fillId="2" borderId="0" xfId="0" applyFont="1" applyFill="1"/>
    <xf numFmtId="0" fontId="3"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[Sales_Dashboard_Dataset.xlsx]Sheet2!PivotTable1</c:name>
    <c:fmtId val="2"/>
  </c:pivotSource>
  <c:chart>
    <c:autoTitleDeleted val="1"/>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Sheet2!$A$4:$A$7</c:f>
              <c:strCache>
                <c:ptCount val="3"/>
                <c:pt idx="0">
                  <c:v>Laptop</c:v>
                </c:pt>
                <c:pt idx="1">
                  <c:v>Mobile</c:v>
                </c:pt>
                <c:pt idx="2">
                  <c:v>Tablet</c:v>
                </c:pt>
              </c:strCache>
            </c:strRef>
          </c:cat>
          <c:val>
            <c:numRef>
              <c:f>Sheet2!$B$4:$B$7</c:f>
              <c:numCache>
                <c:formatCode>General</c:formatCode>
                <c:ptCount val="3"/>
                <c:pt idx="0">
                  <c:v>8564116</c:v>
                </c:pt>
                <c:pt idx="1">
                  <c:v>3420466</c:v>
                </c:pt>
                <c:pt idx="2">
                  <c:v>2168992</c:v>
                </c:pt>
              </c:numCache>
            </c:numRef>
          </c:val>
          <c:extLst>
            <c:ext xmlns:c16="http://schemas.microsoft.com/office/drawing/2014/chart" uri="{C3380CC4-5D6E-409C-BE32-E72D297353CC}">
              <c16:uniqueId val="{00000000-A939-47B9-A4D4-F3C35DB80274}"/>
            </c:ext>
          </c:extLst>
        </c:ser>
        <c:dLbls>
          <c:showLegendKey val="0"/>
          <c:showVal val="0"/>
          <c:showCatName val="0"/>
          <c:showSerName val="0"/>
          <c:showPercent val="0"/>
          <c:showBubbleSize val="0"/>
        </c:dLbls>
        <c:gapWidth val="150"/>
        <c:shape val="box"/>
        <c:axId val="697398272"/>
        <c:axId val="697394944"/>
        <c:axId val="0"/>
      </c:bar3DChart>
      <c:catAx>
        <c:axId val="6973982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7394944"/>
        <c:crosses val="autoZero"/>
        <c:auto val="1"/>
        <c:lblAlgn val="ctr"/>
        <c:lblOffset val="100"/>
        <c:noMultiLvlLbl val="0"/>
      </c:catAx>
      <c:valAx>
        <c:axId val="6973949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7398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[Sales_Dashboard_Dataset.xlsx]Sheet2!PivotTable2</c:name>
    <c:fmtId val="2"/>
  </c:pivotSource>
  <c:chart>
    <c:title>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Sheet2!$B$10</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Sheet2!$A$11:$A$20</c:f>
              <c:strCache>
                <c:ptCount val="9"/>
                <c:pt idx="0">
                  <c:v>Bangalore</c:v>
                </c:pt>
                <c:pt idx="1">
                  <c:v>Chennai</c:v>
                </c:pt>
                <c:pt idx="2">
                  <c:v>Delhi</c:v>
                </c:pt>
                <c:pt idx="3">
                  <c:v>Hyderabad</c:v>
                </c:pt>
                <c:pt idx="4">
                  <c:v>Jaipur</c:v>
                </c:pt>
                <c:pt idx="5">
                  <c:v>Kolkata</c:v>
                </c:pt>
                <c:pt idx="6">
                  <c:v>Mumbai</c:v>
                </c:pt>
                <c:pt idx="7">
                  <c:v>Patna</c:v>
                </c:pt>
                <c:pt idx="8">
                  <c:v>Pune</c:v>
                </c:pt>
              </c:strCache>
            </c:strRef>
          </c:cat>
          <c:val>
            <c:numRef>
              <c:f>Sheet2!$B$11:$B$20</c:f>
              <c:numCache>
                <c:formatCode>General</c:formatCode>
                <c:ptCount val="9"/>
                <c:pt idx="0">
                  <c:v>1032297</c:v>
                </c:pt>
                <c:pt idx="1">
                  <c:v>812378</c:v>
                </c:pt>
                <c:pt idx="2">
                  <c:v>1796668</c:v>
                </c:pt>
                <c:pt idx="3">
                  <c:v>1593338</c:v>
                </c:pt>
                <c:pt idx="4">
                  <c:v>1870318</c:v>
                </c:pt>
                <c:pt idx="5">
                  <c:v>1472222</c:v>
                </c:pt>
                <c:pt idx="6">
                  <c:v>1458620</c:v>
                </c:pt>
                <c:pt idx="7">
                  <c:v>2118667</c:v>
                </c:pt>
                <c:pt idx="8">
                  <c:v>1999066</c:v>
                </c:pt>
              </c:numCache>
            </c:numRef>
          </c:val>
          <c:smooth val="0"/>
          <c:extLst>
            <c:ext xmlns:c16="http://schemas.microsoft.com/office/drawing/2014/chart" uri="{C3380CC4-5D6E-409C-BE32-E72D297353CC}">
              <c16:uniqueId val="{00000000-2977-4923-B4C4-5C620A102172}"/>
            </c:ext>
          </c:extLst>
        </c:ser>
        <c:dLbls>
          <c:dLblPos val="ctr"/>
          <c:showLegendKey val="0"/>
          <c:showVal val="1"/>
          <c:showCatName val="0"/>
          <c:showSerName val="0"/>
          <c:showPercent val="0"/>
          <c:showBubbleSize val="0"/>
        </c:dLbls>
        <c:marker val="1"/>
        <c:smooth val="0"/>
        <c:axId val="699916000"/>
        <c:axId val="699903520"/>
      </c:lineChart>
      <c:catAx>
        <c:axId val="69991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99903520"/>
        <c:crosses val="autoZero"/>
        <c:auto val="1"/>
        <c:lblAlgn val="ctr"/>
        <c:lblOffset val="100"/>
        <c:noMultiLvlLbl val="0"/>
      </c:catAx>
      <c:valAx>
        <c:axId val="69990352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916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areaChart>
        <c:grouping val="standard"/>
        <c:varyColors val="0"/>
        <c:ser>
          <c:idx val="0"/>
          <c:order val="0"/>
          <c:tx>
            <c:strRef>
              <c:f>Sheet2!$B$10</c:f>
              <c:strCache>
                <c:ptCount val="1"/>
                <c:pt idx="0">
                  <c:v>Total</c:v>
                </c:pt>
              </c:strCache>
            </c:strRef>
          </c:tx>
          <c:spPr>
            <a:solidFill>
              <a:schemeClr val="accent1"/>
            </a:solidFill>
            <a:ln>
              <a:noFill/>
            </a:ln>
            <a:effectLst/>
          </c:spPr>
          <c:cat>
            <c:strRef>
              <c:f>Sheet2!$A$11:$A$20</c:f>
              <c:strCache>
                <c:ptCount val="9"/>
                <c:pt idx="0">
                  <c:v>Bangalore</c:v>
                </c:pt>
                <c:pt idx="1">
                  <c:v>Chennai</c:v>
                </c:pt>
                <c:pt idx="2">
                  <c:v>Delhi</c:v>
                </c:pt>
                <c:pt idx="3">
                  <c:v>Hyderabad</c:v>
                </c:pt>
                <c:pt idx="4">
                  <c:v>Jaipur</c:v>
                </c:pt>
                <c:pt idx="5">
                  <c:v>Kolkata</c:v>
                </c:pt>
                <c:pt idx="6">
                  <c:v>Mumbai</c:v>
                </c:pt>
                <c:pt idx="7">
                  <c:v>Patna</c:v>
                </c:pt>
                <c:pt idx="8">
                  <c:v>Pune</c:v>
                </c:pt>
              </c:strCache>
            </c:strRef>
          </c:cat>
          <c:val>
            <c:numRef>
              <c:f>Sheet2!$B$11:$B$20</c:f>
              <c:numCache>
                <c:formatCode>General</c:formatCode>
                <c:ptCount val="9"/>
                <c:pt idx="0">
                  <c:v>1032297</c:v>
                </c:pt>
                <c:pt idx="1">
                  <c:v>812378</c:v>
                </c:pt>
                <c:pt idx="2">
                  <c:v>1796668</c:v>
                </c:pt>
                <c:pt idx="3">
                  <c:v>1593338</c:v>
                </c:pt>
                <c:pt idx="4">
                  <c:v>1870318</c:v>
                </c:pt>
                <c:pt idx="5">
                  <c:v>1472222</c:v>
                </c:pt>
                <c:pt idx="6">
                  <c:v>1458620</c:v>
                </c:pt>
                <c:pt idx="7">
                  <c:v>2118667</c:v>
                </c:pt>
                <c:pt idx="8">
                  <c:v>1999066</c:v>
                </c:pt>
              </c:numCache>
            </c:numRef>
          </c:val>
          <c:extLst>
            <c:ext xmlns:c16="http://schemas.microsoft.com/office/drawing/2014/chart" uri="{C3380CC4-5D6E-409C-BE32-E72D297353CC}">
              <c16:uniqueId val="{00000002-119E-401A-A0A8-5D798758A929}"/>
            </c:ext>
          </c:extLst>
        </c:ser>
        <c:dLbls>
          <c:showLegendKey val="0"/>
          <c:showVal val="0"/>
          <c:showCatName val="0"/>
          <c:showSerName val="0"/>
          <c:showPercent val="0"/>
          <c:showBubbleSize val="0"/>
        </c:dLbls>
        <c:axId val="940227152"/>
        <c:axId val="985152080"/>
      </c:areaChart>
      <c:catAx>
        <c:axId val="940227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152080"/>
        <c:crosses val="autoZero"/>
        <c:auto val="1"/>
        <c:lblAlgn val="ctr"/>
        <c:lblOffset val="100"/>
        <c:noMultiLvlLbl val="0"/>
      </c:catAx>
      <c:valAx>
        <c:axId val="98515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227152"/>
        <c:crosses val="autoZero"/>
        <c:crossBetween val="midCat"/>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[Sales_Dashboard_Dataset.xlsx]Sheet2!PivotTable4</c:name>
    <c:fmtId val="2"/>
  </c:pivotSource>
  <c:chart>
    <c:title>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layout/>
          <c:dLblPos val="inEnd"/>
          <c:showLegendKey val="0"/>
          <c:showVal val="0"/>
          <c:showCatName val="1"/>
          <c:showSerName val="0"/>
          <c:showPercent val="1"/>
          <c:showBubbleSize val="0"/>
          <c:extLst>
            <c:ext xmlns:c15="http://schemas.microsoft.com/office/drawing/2012/chart" uri="{CE6537A1-D6FC-4f65-9D91-7224C49458BB}">
              <c15:layout/>
            </c:ext>
          </c:extLst>
        </c:dLbl>
      </c:pivotFmt>
      <c:pivotFmt>
        <c:idx val="8"/>
      </c:pivotFmt>
      <c:pivotFmt>
        <c:idx val="9"/>
      </c:pivotFmt>
      <c:pivotFmt>
        <c:idx val="10"/>
      </c:pivotFmt>
      <c:pivotFmt>
        <c:idx val="11"/>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Sheet2!$H$3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C01-453E-B8C8-2B9EE4537E8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C01-453E-B8C8-2B9EE4537E8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C01-453E-B8C8-2B9EE4537E8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C01-453E-B8C8-2B9EE4537E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Sheet2!$G$4:$G$8</c:f>
              <c:strCache>
                <c:ptCount val="4"/>
                <c:pt idx="0">
                  <c:v>Amit</c:v>
                </c:pt>
                <c:pt idx="1">
                  <c:v>Neha</c:v>
                </c:pt>
                <c:pt idx="2">
                  <c:v>Priya</c:v>
                </c:pt>
                <c:pt idx="3">
                  <c:v>Rahul</c:v>
                </c:pt>
              </c:strCache>
            </c:strRef>
          </c:cat>
          <c:val>
            <c:numRef>
              <c:f>Sheet2!$H$4:$H$8</c:f>
              <c:numCache>
                <c:formatCode>General</c:formatCode>
                <c:ptCount val="4"/>
                <c:pt idx="0">
                  <c:v>3465709</c:v>
                </c:pt>
                <c:pt idx="1">
                  <c:v>2267418</c:v>
                </c:pt>
                <c:pt idx="2">
                  <c:v>4280294</c:v>
                </c:pt>
                <c:pt idx="3">
                  <c:v>4140153</c:v>
                </c:pt>
              </c:numCache>
            </c:numRef>
          </c:val>
          <c:extLst>
            <c:ext xmlns:c16="http://schemas.microsoft.com/office/drawing/2014/chart" uri="{C3380CC4-5D6E-409C-BE32-E72D297353CC}">
              <c16:uniqueId val="{00000008-8C01-453E-B8C8-2B9EE4537E88}"/>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[Sales_Dashboard_Dataset.xlsx]Sheet2!PivotTable5</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Sheet2!$H$11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multiLvlStrRef>
              <c:f>Sheet2!$G$12:$G$28</c:f>
              <c:multiLvlStrCache>
                <c:ptCount val="12"/>
                <c:lvl>
                  <c:pt idx="0">
                    <c:v>Laptop</c:v>
                  </c:pt>
                  <c:pt idx="1">
                    <c:v>Mobile</c:v>
                  </c:pt>
                  <c:pt idx="2">
                    <c:v>Tablet</c:v>
                  </c:pt>
                  <c:pt idx="3">
                    <c:v>Laptop</c:v>
                  </c:pt>
                  <c:pt idx="4">
                    <c:v>Mobile</c:v>
                  </c:pt>
                  <c:pt idx="5">
                    <c:v>Tablet</c:v>
                  </c:pt>
                  <c:pt idx="6">
                    <c:v>Laptop</c:v>
                  </c:pt>
                  <c:pt idx="7">
                    <c:v>Mobile</c:v>
                  </c:pt>
                  <c:pt idx="8">
                    <c:v>Tablet</c:v>
                  </c:pt>
                  <c:pt idx="9">
                    <c:v>Laptop</c:v>
                  </c:pt>
                  <c:pt idx="10">
                    <c:v>Mobile</c:v>
                  </c:pt>
                  <c:pt idx="11">
                    <c:v>Tablet</c:v>
                  </c:pt>
                </c:lvl>
                <c:lvl>
                  <c:pt idx="0">
                    <c:v>0</c:v>
                  </c:pt>
                  <c:pt idx="3">
                    <c:v>5</c:v>
                  </c:pt>
                  <c:pt idx="6">
                    <c:v>10</c:v>
                  </c:pt>
                  <c:pt idx="9">
                    <c:v>15</c:v>
                  </c:pt>
                </c:lvl>
              </c:multiLvlStrCache>
            </c:multiLvlStrRef>
          </c:cat>
          <c:val>
            <c:numRef>
              <c:f>Sheet2!$H$12:$H$28</c:f>
              <c:numCache>
                <c:formatCode>General</c:formatCode>
                <c:ptCount val="12"/>
                <c:pt idx="0">
                  <c:v>2989271</c:v>
                </c:pt>
                <c:pt idx="1">
                  <c:v>912217</c:v>
                </c:pt>
                <c:pt idx="2">
                  <c:v>505483</c:v>
                </c:pt>
                <c:pt idx="3">
                  <c:v>1506776</c:v>
                </c:pt>
                <c:pt idx="4">
                  <c:v>1028502</c:v>
                </c:pt>
                <c:pt idx="5">
                  <c:v>611844</c:v>
                </c:pt>
                <c:pt idx="6">
                  <c:v>1997667</c:v>
                </c:pt>
                <c:pt idx="7">
                  <c:v>598853</c:v>
                </c:pt>
                <c:pt idx="8">
                  <c:v>475036</c:v>
                </c:pt>
                <c:pt idx="9">
                  <c:v>2070402</c:v>
                </c:pt>
                <c:pt idx="10">
                  <c:v>880894</c:v>
                </c:pt>
                <c:pt idx="11">
                  <c:v>576629</c:v>
                </c:pt>
              </c:numCache>
            </c:numRef>
          </c:val>
          <c:extLst>
            <c:ext xmlns:c16="http://schemas.microsoft.com/office/drawing/2014/chart" uri="{C3380CC4-5D6E-409C-BE32-E72D297353CC}">
              <c16:uniqueId val="{00000000-70F8-4B6D-961B-B12CB82A8A96}"/>
            </c:ext>
          </c:extLst>
        </c:ser>
        <c:dLbls>
          <c:dLblPos val="inEnd"/>
          <c:showLegendKey val="0"/>
          <c:showVal val="1"/>
          <c:showCatName val="0"/>
          <c:showSerName val="0"/>
          <c:showPercent val="0"/>
          <c:showBubbleSize val="0"/>
        </c:dLbls>
        <c:gapWidth val="100"/>
        <c:axId val="697396192"/>
        <c:axId val="697397440"/>
      </c:barChart>
      <c:catAx>
        <c:axId val="6973961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7397440"/>
        <c:crosses val="autoZero"/>
        <c:auto val="1"/>
        <c:lblAlgn val="ctr"/>
        <c:lblOffset val="100"/>
        <c:noMultiLvlLbl val="0"/>
      </c:catAx>
      <c:valAx>
        <c:axId val="69739744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73961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[Sales_Dashboard_Dataset.xlsx]Sheet2!PivotTable6</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radarChart>
        <c:radarStyle val="marker"/>
        <c:varyColors val="0"/>
        <c:ser>
          <c:idx val="0"/>
          <c:order val="0"/>
          <c:tx>
            <c:strRef>
              <c:f>Sheet2!$K$3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Sheet2!$J$4:$J$8</c:f>
              <c:strCache>
                <c:ptCount val="4"/>
                <c:pt idx="0">
                  <c:v>1</c:v>
                </c:pt>
                <c:pt idx="1">
                  <c:v>2</c:v>
                </c:pt>
                <c:pt idx="2">
                  <c:v>3</c:v>
                </c:pt>
                <c:pt idx="3">
                  <c:v>(blank)</c:v>
                </c:pt>
              </c:strCache>
            </c:strRef>
          </c:cat>
          <c:val>
            <c:numRef>
              <c:f>Sheet2!$K$4:$K$8</c:f>
              <c:numCache>
                <c:formatCode>General</c:formatCode>
                <c:ptCount val="4"/>
                <c:pt idx="0">
                  <c:v>58</c:v>
                </c:pt>
                <c:pt idx="1">
                  <c:v>73</c:v>
                </c:pt>
                <c:pt idx="2">
                  <c:v>69</c:v>
                </c:pt>
              </c:numCache>
            </c:numRef>
          </c:val>
          <c:extLst>
            <c:ext xmlns:c16="http://schemas.microsoft.com/office/drawing/2014/chart" uri="{C3380CC4-5D6E-409C-BE32-E72D297353CC}">
              <c16:uniqueId val="{00000000-142C-4F50-BB14-62A86CA65112}"/>
            </c:ext>
          </c:extLst>
        </c:ser>
        <c:dLbls>
          <c:showLegendKey val="0"/>
          <c:showVal val="0"/>
          <c:showCatName val="0"/>
          <c:showSerName val="0"/>
          <c:showPercent val="0"/>
          <c:showBubbleSize val="0"/>
        </c:dLbls>
        <c:axId val="699586272"/>
        <c:axId val="699584192"/>
      </c:radarChart>
      <c:catAx>
        <c:axId val="69958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584192"/>
        <c:crosses val="autoZero"/>
        <c:auto val="1"/>
        <c:lblAlgn val="ctr"/>
        <c:lblOffset val="100"/>
        <c:noMultiLvlLbl val="0"/>
      </c:catAx>
      <c:valAx>
        <c:axId val="69958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586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236220</xdr:colOff>
      <xdr:row>3</xdr:row>
      <xdr:rowOff>274320</xdr:rowOff>
    </xdr:from>
    <xdr:to>
      <xdr:col>9</xdr:col>
      <xdr:colOff>381000</xdr:colOff>
      <xdr:row>16</xdr:row>
      <xdr:rowOff>45720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220980</xdr:colOff>
      <xdr:row>17</xdr:row>
      <xdr:rowOff>106680</xdr:rowOff>
    </xdr:from>
    <xdr:to>
      <xdr:col>9</xdr:col>
      <xdr:colOff>388620</xdr:colOff>
      <xdr:row>31</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533400</xdr:colOff>
      <xdr:row>18</xdr:row>
      <xdr:rowOff>0</xdr:rowOff>
    </xdr:from>
    <xdr:to>
      <xdr:col>22</xdr:col>
      <xdr:colOff>472440</xdr:colOff>
      <xdr:row>31</xdr:row>
      <xdr:rowOff>45720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205740</xdr:colOff>
      <xdr:row>17</xdr:row>
      <xdr:rowOff>175260</xdr:rowOff>
    </xdr:from>
    <xdr:to>
      <xdr:col>16</xdr:col>
      <xdr:colOff>335280</xdr:colOff>
      <xdr:row>31</xdr:row>
      <xdr:rowOff>30480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106680</xdr:colOff>
      <xdr:row>3</xdr:row>
      <xdr:rowOff>281940</xdr:rowOff>
    </xdr:from>
    <xdr:to>
      <xdr:col>16</xdr:col>
      <xdr:colOff>297180</xdr:colOff>
      <xdr:row>16</xdr:row>
      <xdr:rowOff>53340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563880</xdr:colOff>
      <xdr:row>3</xdr:row>
      <xdr:rowOff>335280</xdr:rowOff>
    </xdr:from>
    <xdr:to>
      <xdr:col>22</xdr:col>
      <xdr:colOff>396240</xdr:colOff>
      <xdr:row>16</xdr:row>
      <xdr:rowOff>60960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0</xdr:colOff>
      <xdr:row>34</xdr:row>
      <xdr:rowOff>0</xdr:rowOff>
    </xdr:from>
    <xdr:to>
      <xdr:col>11</xdr:col>
      <xdr:colOff>0</xdr:colOff>
      <xdr:row>47</xdr:row>
      <xdr:rowOff>89535</xdr:rowOff>
    </xdr:to>
    <mc:AlternateContent xmlns:mc="http://schemas.openxmlformats.org/markup-compatibility/2006">
      <mc:Choice xmlns:a14="http://schemas.microsoft.com/office/drawing/2010/main" Requires="a14">
        <xdr:graphicFrame macro="">
          <xdr:nvGraphicFramePr>
            <xdr:cNvPr id="8" name="Sales_Amount"/>
            <xdr:cNvGraphicFramePr/>
          </xdr:nvGraphicFramePr>
          <xdr:xfrm>
            <a:off x="0" y="0"/>
            <a:ext cx="0" cy="0"/>
          </xdr:xfrm>
          <a:graphic>
            <a:graphicData uri="http://schemas.microsoft.com/office/drawing/2010/slicer">
              <sle:slicer xmlns:sle="http://schemas.microsoft.com/office/drawing/2010/slicer" name="Sales_Amount"/>
            </a:graphicData>
          </a:graphic>
        </xdr:graphicFrame>
      </mc:Choice>
      <mc:Fallback>
        <xdr:sp macro="" textlink="">
          <xdr:nvSpPr>
            <xdr:cNvPr id="0" name=""/>
            <xdr:cNvSpPr>
              <a:spLocks noTextEdit="1"/>
            </xdr:cNvSpPr>
          </xdr:nvSpPr>
          <xdr:spPr>
            <a:xfrm>
              <a:off x="4876800" y="6774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34</xdr:row>
      <xdr:rowOff>0</xdr:rowOff>
    </xdr:from>
    <xdr:to>
      <xdr:col>14</xdr:col>
      <xdr:colOff>0</xdr:colOff>
      <xdr:row>47</xdr:row>
      <xdr:rowOff>89535</xdr:rowOff>
    </xdr:to>
    <mc:AlternateContent xmlns:mc="http://schemas.openxmlformats.org/markup-compatibility/2006">
      <mc:Choice xmlns:a14="http://schemas.microsoft.com/office/drawing/2010/main" Requires="a14">
        <xdr:graphicFrame macro="">
          <xdr:nvGraphicFramePr>
            <xdr:cNvPr id="9" name="Sales_Person"/>
            <xdr:cNvGraphicFramePr/>
          </xdr:nvGraphicFramePr>
          <xdr:xfrm>
            <a:off x="0" y="0"/>
            <a:ext cx="0" cy="0"/>
          </xdr:xfrm>
          <a:graphic>
            <a:graphicData uri="http://schemas.microsoft.com/office/drawing/2010/slicer">
              <sle:slicer xmlns:sle="http://schemas.microsoft.com/office/drawing/2010/slicer" name="Sales_Person"/>
            </a:graphicData>
          </a:graphic>
        </xdr:graphicFrame>
      </mc:Choice>
      <mc:Fallback>
        <xdr:sp macro="" textlink="">
          <xdr:nvSpPr>
            <xdr:cNvPr id="0" name=""/>
            <xdr:cNvSpPr>
              <a:spLocks noTextEdit="1"/>
            </xdr:cNvSpPr>
          </xdr:nvSpPr>
          <xdr:spPr>
            <a:xfrm>
              <a:off x="6705600" y="6774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34</xdr:row>
      <xdr:rowOff>0</xdr:rowOff>
    </xdr:from>
    <xdr:to>
      <xdr:col>17</xdr:col>
      <xdr:colOff>0</xdr:colOff>
      <xdr:row>47</xdr:row>
      <xdr:rowOff>89535</xdr:rowOff>
    </xdr:to>
    <mc:AlternateContent xmlns:mc="http://schemas.openxmlformats.org/markup-compatibility/2006">
      <mc:Choice xmlns:a14="http://schemas.microsoft.com/office/drawing/2010/main" Requires="a14">
        <xdr:graphicFrame macro="">
          <xdr:nvGraphicFramePr>
            <xdr:cNvPr id="10"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534400" y="6774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34</xdr:row>
      <xdr:rowOff>0</xdr:rowOff>
    </xdr:from>
    <xdr:to>
      <xdr:col>20</xdr:col>
      <xdr:colOff>0</xdr:colOff>
      <xdr:row>47</xdr:row>
      <xdr:rowOff>89535</xdr:rowOff>
    </xdr:to>
    <mc:AlternateContent xmlns:mc="http://schemas.openxmlformats.org/markup-compatibility/2006">
      <mc:Choice xmlns:a14="http://schemas.microsoft.com/office/drawing/2010/main" Requires="a14">
        <xdr:graphicFrame macro="">
          <xdr:nvGraphicFramePr>
            <xdr:cNvPr id="11"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363200" y="6774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6030.437671874999" createdVersion="6" refreshedVersion="6" minRefreshableVersion="3" recordCount="200">
  <cacheSource type="worksheet">
    <worksheetSource ref="A1:N201" sheet="Sales_Data"/>
  </cacheSource>
  <cacheFields count="14">
    <cacheField name="Order_ID" numFmtId="0">
      <sharedItems containsSemiMixedTypes="0" containsString="0" containsNumber="1" containsInteger="1" minValue="1001" maxValue="1195"/>
    </cacheField>
    <cacheField name="Order_Date" numFmtId="164">
      <sharedItems containsSemiMixedTypes="0" containsNonDate="0" containsDate="1" containsString="0" minDate="2025-01-01T00:00:00" maxDate="2025-03-03T00:00:00"/>
    </cacheField>
    <cacheField name="Region" numFmtId="0">
      <sharedItems count="4">
        <s v="East"/>
        <s v="West"/>
        <s v="South"/>
        <s v="North"/>
      </sharedItems>
    </cacheField>
    <cacheField name="City" numFmtId="0">
      <sharedItems count="9">
        <s v="Patna"/>
        <s v="Pune"/>
        <s v="Kolkata"/>
        <s v="Mumbai"/>
        <s v="Bangalore"/>
        <s v="Chennai"/>
        <s v="Jaipur"/>
        <s v="Delhi"/>
        <s v="Hyderabad"/>
      </sharedItems>
    </cacheField>
    <cacheField name="Product_Category" numFmtId="0">
      <sharedItems/>
    </cacheField>
    <cacheField name="Product" numFmtId="0">
      <sharedItems count="3">
        <s v="Tablet"/>
        <s v="Laptop"/>
        <s v="Mobile"/>
      </sharedItems>
    </cacheField>
    <cacheField name="Sales_Person" numFmtId="0">
      <sharedItems count="4">
        <s v="Neha"/>
        <s v="Amit"/>
        <s v="Priya"/>
        <s v="Rahul"/>
      </sharedItems>
    </cacheField>
    <cacheField name="Channel" numFmtId="0">
      <sharedItems/>
    </cacheField>
    <cacheField name="Unit_Price" numFmtId="0">
      <sharedItems containsSemiMixedTypes="0" containsString="0" containsNumber="1" containsInteger="1" minValue="18095" maxValue="64950" count="194">
        <n v="19827"/>
        <n v="60112"/>
        <n v="60873"/>
        <n v="60285"/>
        <n v="27642"/>
        <n v="19663"/>
        <n v="60887"/>
        <n v="64007"/>
        <n v="60505"/>
        <n v="26085"/>
        <n v="28575"/>
        <n v="19693"/>
        <n v="24508"/>
        <n v="21374"/>
        <n v="26501"/>
        <n v="24198"/>
        <n v="56757"/>
        <n v="26129"/>
        <n v="63513"/>
        <n v="19704"/>
        <n v="62149"/>
        <n v="19243"/>
        <n v="57407"/>
        <n v="29198"/>
        <n v="27523"/>
        <n v="62550"/>
        <n v="21767"/>
        <n v="21904"/>
        <n v="20809"/>
        <n v="20851"/>
        <n v="22806"/>
        <n v="21036"/>
        <n v="24683"/>
        <n v="26599"/>
        <n v="27148"/>
        <n v="24872"/>
        <n v="23732"/>
        <n v="58822"/>
        <n v="28183"/>
        <n v="25493"/>
        <n v="20756"/>
        <n v="24707"/>
        <n v="62166"/>
        <n v="18551"/>
        <n v="29469"/>
        <n v="21011"/>
        <n v="22887"/>
        <n v="29951"/>
        <n v="23138"/>
        <n v="19468"/>
        <n v="18981"/>
        <n v="25471"/>
        <n v="63814"/>
        <n v="23838"/>
        <n v="61841"/>
        <n v="23005"/>
        <n v="19780"/>
        <n v="28226"/>
        <n v="61722"/>
        <n v="63608"/>
        <n v="23820"/>
        <n v="21590"/>
        <n v="28688"/>
        <n v="60069"/>
        <n v="55679"/>
        <n v="26327"/>
        <n v="19292"/>
        <n v="62667"/>
        <n v="18237"/>
        <n v="24555"/>
        <n v="27211"/>
        <n v="63500"/>
        <n v="25334"/>
        <n v="57000"/>
        <n v="25024"/>
        <n v="23767"/>
        <n v="20044"/>
        <n v="62188"/>
        <n v="21915"/>
        <n v="56360"/>
        <n v="28650"/>
        <n v="29690"/>
        <n v="28083"/>
        <n v="26980"/>
        <n v="18963"/>
        <n v="20833"/>
        <n v="21796"/>
        <n v="19761"/>
        <n v="60006"/>
        <n v="59664"/>
        <n v="56307"/>
        <n v="57862"/>
        <n v="55825"/>
        <n v="59130"/>
        <n v="24176"/>
        <n v="29602"/>
        <n v="19668"/>
        <n v="25221"/>
        <n v="22831"/>
        <n v="61375"/>
        <n v="25720"/>
        <n v="25702"/>
        <n v="23681"/>
        <n v="19872"/>
        <n v="60157"/>
        <n v="22091"/>
        <n v="24379"/>
        <n v="57904"/>
        <n v="19588"/>
        <n v="27362"/>
        <n v="64251"/>
        <n v="57142"/>
        <n v="22749"/>
        <n v="22815"/>
        <n v="64585"/>
        <n v="62798"/>
        <n v="23868"/>
        <n v="29013"/>
        <n v="20344"/>
        <n v="57320"/>
        <n v="57702"/>
        <n v="55949"/>
        <n v="21328"/>
        <n v="21833"/>
        <n v="19987"/>
        <n v="63258"/>
        <n v="20119"/>
        <n v="25502"/>
        <n v="62514"/>
        <n v="21567"/>
        <n v="24661"/>
        <n v="62472"/>
        <n v="23348"/>
        <n v="22633"/>
        <n v="19046"/>
        <n v="19430"/>
        <n v="29143"/>
        <n v="55473"/>
        <n v="21680"/>
        <n v="64654"/>
        <n v="57498"/>
        <n v="26703"/>
        <n v="20769"/>
        <n v="21414"/>
        <n v="22132"/>
        <n v="23367"/>
        <n v="29271"/>
        <n v="25643"/>
        <n v="21700"/>
        <n v="23590"/>
        <n v="55065"/>
        <n v="63120"/>
        <n v="64363"/>
        <n v="58651"/>
        <n v="22331"/>
        <n v="61641"/>
        <n v="62453"/>
        <n v="23972"/>
        <n v="23897"/>
        <n v="61559"/>
        <n v="19607"/>
        <n v="60153"/>
        <n v="21845"/>
        <n v="19489"/>
        <n v="59766"/>
        <n v="63170"/>
        <n v="60331"/>
        <n v="62306"/>
        <n v="19610"/>
        <n v="60509"/>
        <n v="21041"/>
        <n v="63937"/>
        <n v="20334"/>
        <n v="59849"/>
        <n v="19682"/>
        <n v="22873"/>
        <n v="19386"/>
        <n v="18799"/>
        <n v="61670"/>
        <n v="63111"/>
        <n v="19762"/>
        <n v="18095"/>
        <n v="19231"/>
        <n v="21481"/>
        <n v="19830"/>
        <n v="29171"/>
        <n v="20211"/>
        <n v="29317"/>
        <n v="23154"/>
        <n v="64950"/>
        <n v="18102"/>
        <n v="61785"/>
        <n v="61342"/>
        <n v="58031"/>
      </sharedItems>
    </cacheField>
    <cacheField name="Quantity" numFmtId="0">
      <sharedItems containsSemiMixedTypes="0" containsString="0" containsNumber="1" containsInteger="1" minValue="1" maxValue="3"/>
    </cacheField>
    <cacheField name="Discount_%" numFmtId="0">
      <sharedItems containsSemiMixedTypes="0" containsString="0" containsNumber="1" containsInteger="1" minValue="0" maxValue="15" count="4">
        <n v="15"/>
        <n v="0"/>
        <n v="10"/>
        <n v="5"/>
      </sharedItems>
    </cacheField>
    <cacheField name="Sales_Amount" numFmtId="0">
      <sharedItems containsSemiMixedTypes="0" containsString="0" containsNumber="1" containsInteger="1" minValue="16919" maxValue="187650" count="195">
        <n v="33705"/>
        <n v="180336"/>
        <n v="164357"/>
        <n v="60285"/>
        <n v="70487"/>
        <n v="18679"/>
        <n v="164394"/>
        <n v="128014"/>
        <n v="108909"/>
        <n v="44344"/>
        <n v="57150"/>
        <n v="18708"/>
        <n v="69847"/>
        <n v="21374"/>
        <n v="22525"/>
        <n v="61704"/>
        <n v="113514"/>
        <n v="66628"/>
        <n v="161958"/>
        <n v="37437"/>
        <n v="118083"/>
        <n v="51956"/>
        <n v="114814"/>
        <n v="55476"/>
        <n v="82569"/>
        <n v="187650"/>
        <n v="41357"/>
        <n v="18618"/>
        <n v="62427"/>
        <n v="39616"/>
        <n v="20525"/>
        <n v="42072"/>
        <n v="70346"/>
        <n v="25269"/>
        <n v="54296"/>
        <n v="24872"/>
        <n v="42717"/>
        <n v="117644"/>
        <n v="84549"/>
        <n v="76479"/>
        <n v="18680"/>
        <n v="66708"/>
        <n v="59057"/>
        <n v="18551"/>
        <n v="83986"/>
        <n v="17859"/>
        <n v="19453"/>
        <n v="28453"/>
        <n v="59001"/>
        <n v="17521"/>
        <n v="54095"/>
        <n v="21650"/>
        <n v="114865"/>
        <n v="67938"/>
        <n v="166970"/>
        <n v="23005"/>
        <n v="53406"/>
        <n v="50806"/>
        <n v="55549"/>
        <n v="60427"/>
        <n v="64314"/>
        <n v="21590"/>
        <n v="48769"/>
        <n v="102117"/>
        <n v="111358"/>
        <n v="22377"/>
        <n v="49194"/>
        <n v="159800"/>
        <n v="17325"/>
        <n v="69981"/>
        <n v="48979"/>
        <n v="107950"/>
        <n v="48134"/>
        <n v="171000"/>
        <n v="75072"/>
        <n v="71301"/>
        <n v="40088"/>
        <n v="186564"/>
        <n v="19723"/>
        <n v="56360"/>
        <n v="81652"/>
        <n v="84616"/>
        <n v="75824"/>
        <n v="80940"/>
        <n v="36029"/>
        <n v="35416"/>
        <n v="18526"/>
        <n v="39522"/>
        <n v="114011"/>
        <n v="119328"/>
        <n v="47860"/>
        <n v="54968"/>
        <n v="142353"/>
        <n v="106434"/>
        <n v="24176"/>
        <n v="56243"/>
        <n v="56053"/>
        <n v="47919"/>
        <n v="38812"/>
        <n v="61375"/>
        <n v="23148"/>
        <n v="24416"/>
        <n v="47362"/>
        <n v="33782"/>
        <n v="114298"/>
        <n v="39763"/>
        <n v="62166"/>
        <n v="173712"/>
        <n v="17629"/>
        <n v="69773"/>
        <n v="163840"/>
        <n v="54284"/>
        <n v="43223"/>
        <n v="22815"/>
        <n v="109794"/>
        <n v="125596"/>
        <n v="22674"/>
        <n v="24661"/>
        <n v="20344"/>
        <n v="146166"/>
        <n v="49046"/>
        <n v="111898"/>
        <n v="21328"/>
        <n v="62224"/>
        <n v="56962"/>
        <n v="56932"/>
        <n v="34202"/>
        <n v="21676"/>
        <n v="187542"/>
        <n v="40977"/>
        <n v="73983"/>
        <n v="106202"/>
        <n v="46696"/>
        <n v="20369"/>
        <n v="34282"/>
        <n v="18458"/>
        <n v="58286"/>
        <n v="99851"/>
        <n v="41192"/>
        <n v="174565"/>
        <n v="48873"/>
        <n v="45395"/>
        <n v="20769"/>
        <n v="54605"/>
        <n v="56436"/>
        <n v="42060"/>
        <n v="25403"/>
        <n v="83422"/>
        <n v="23078"/>
        <n v="43400"/>
        <n v="67231"/>
        <n v="140415"/>
        <n v="160956"/>
        <n v="164125"/>
        <n v="117302"/>
        <n v="20097"/>
        <n v="175676"/>
        <n v="168623"/>
        <n v="64724"/>
        <n v="23897"/>
        <n v="104650"/>
        <n v="33331"/>
        <n v="171436"/>
        <n v="58981"/>
        <n v="33131"/>
        <n v="113555"/>
        <n v="60011"/>
        <n v="120662"/>
        <n v="168226"/>
        <n v="50005"/>
        <n v="154297"/>
        <n v="53654"/>
        <n v="172629"/>
        <n v="40668"/>
        <n v="113713"/>
        <n v="39364"/>
        <n v="41171"/>
        <n v="52342"/>
        <n v="16919"/>
        <n v="111006"/>
        <n v="179866"/>
        <n v="39524"/>
        <n v="51570"/>
        <n v="19231"/>
        <n v="36517"/>
        <n v="18838"/>
        <n v="24795"/>
        <n v="36379"/>
        <n v="26385"/>
        <n v="39361"/>
        <n v="64950"/>
        <n v="30773"/>
        <n v="117391"/>
        <n v="122684"/>
        <n v="116062"/>
      </sharedItems>
    </cacheField>
    <cacheField name="Year" numFmtId="0">
      <sharedItems containsSemiMixedTypes="0" containsString="0" containsNumber="1" containsInteger="1" minValue="2025" maxValue="2025"/>
    </cacheField>
    <cacheField name="Month"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030.441150578707" createdVersion="6" refreshedVersion="6" minRefreshableVersion="3" recordCount="201">
  <cacheSource type="worksheet">
    <worksheetSource ref="A1:N1048576" sheet="Sales_Data"/>
  </cacheSource>
  <cacheFields count="14">
    <cacheField name="Order_ID" numFmtId="0">
      <sharedItems containsString="0" containsBlank="1" containsNumber="1" containsInteger="1" minValue="1001" maxValue="1195"/>
    </cacheField>
    <cacheField name="Order_Date" numFmtId="0">
      <sharedItems containsNonDate="0" containsDate="1" containsString="0" containsBlank="1" minDate="2025-01-01T00:00:00" maxDate="2025-03-03T00:00:00"/>
    </cacheField>
    <cacheField name="Region" numFmtId="0">
      <sharedItems containsBlank="1"/>
    </cacheField>
    <cacheField name="City" numFmtId="0">
      <sharedItems containsBlank="1"/>
    </cacheField>
    <cacheField name="Product_Category" numFmtId="0">
      <sharedItems containsBlank="1"/>
    </cacheField>
    <cacheField name="Product" numFmtId="0">
      <sharedItems containsBlank="1"/>
    </cacheField>
    <cacheField name="Sales_Person" numFmtId="0">
      <sharedItems containsBlank="1"/>
    </cacheField>
    <cacheField name="Channel" numFmtId="0">
      <sharedItems containsBlank="1"/>
    </cacheField>
    <cacheField name="Unit_Price" numFmtId="0">
      <sharedItems containsString="0" containsBlank="1" containsNumber="1" containsInteger="1" minValue="18095" maxValue="64950"/>
    </cacheField>
    <cacheField name="Quantity" numFmtId="0">
      <sharedItems containsString="0" containsBlank="1" containsNumber="1" containsInteger="1" minValue="1" maxValue="3" count="4">
        <n v="2"/>
        <n v="3"/>
        <n v="1"/>
        <m/>
      </sharedItems>
    </cacheField>
    <cacheField name="Discount_%" numFmtId="0">
      <sharedItems containsString="0" containsBlank="1" containsNumber="1" containsInteger="1" minValue="0" maxValue="15"/>
    </cacheField>
    <cacheField name="Sales_Amount" numFmtId="0">
      <sharedItems containsString="0" containsBlank="1" containsNumber="1" containsInteger="1" minValue="16919" maxValue="187650"/>
    </cacheField>
    <cacheField name="Year" numFmtId="0">
      <sharedItems containsString="0" containsBlank="1" containsNumber="1" containsInteger="1" minValue="2025" maxValue="2025"/>
    </cacheField>
    <cacheField name="Month" numFmtId="0">
      <sharedItems containsString="0" containsBlank="1" containsNumber="1" containsInteger="1" minValue="1" maxValu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
  <r>
    <n v="1001"/>
    <d v="2025-02-07T00:00:00"/>
    <x v="0"/>
    <x v="0"/>
    <s v="Electronics"/>
    <x v="0"/>
    <x v="0"/>
    <s v="Online"/>
    <x v="0"/>
    <n v="2"/>
    <x v="0"/>
    <x v="0"/>
    <n v="2025"/>
    <n v="2"/>
  </r>
  <r>
    <n v="1002"/>
    <d v="2025-02-25T00:00:00"/>
    <x v="0"/>
    <x v="0"/>
    <s v="Electronics"/>
    <x v="1"/>
    <x v="1"/>
    <s v="Online"/>
    <x v="1"/>
    <n v="3"/>
    <x v="1"/>
    <x v="1"/>
    <n v="2025"/>
    <n v="2"/>
  </r>
  <r>
    <n v="1003"/>
    <d v="2025-02-15T00:00:00"/>
    <x v="0"/>
    <x v="0"/>
    <s v="Electronics"/>
    <x v="1"/>
    <x v="2"/>
    <s v="Offline"/>
    <x v="2"/>
    <n v="3"/>
    <x v="2"/>
    <x v="2"/>
    <n v="2025"/>
    <n v="2"/>
  </r>
  <r>
    <n v="1004"/>
    <d v="2025-01-18T00:00:00"/>
    <x v="1"/>
    <x v="1"/>
    <s v="Electronics"/>
    <x v="1"/>
    <x v="1"/>
    <s v="Offline"/>
    <x v="3"/>
    <n v="1"/>
    <x v="1"/>
    <x v="3"/>
    <n v="2025"/>
    <n v="1"/>
  </r>
  <r>
    <n v="1005"/>
    <d v="2025-01-02T00:00:00"/>
    <x v="0"/>
    <x v="2"/>
    <s v="Electronics"/>
    <x v="2"/>
    <x v="2"/>
    <s v="Offline"/>
    <x v="4"/>
    <n v="3"/>
    <x v="0"/>
    <x v="4"/>
    <n v="2025"/>
    <n v="1"/>
  </r>
  <r>
    <n v="1006"/>
    <d v="2025-01-28T00:00:00"/>
    <x v="0"/>
    <x v="2"/>
    <s v="Electronics"/>
    <x v="0"/>
    <x v="2"/>
    <s v="Online"/>
    <x v="5"/>
    <n v="1"/>
    <x v="3"/>
    <x v="5"/>
    <n v="2025"/>
    <n v="1"/>
  </r>
  <r>
    <n v="1007"/>
    <d v="2025-02-18T00:00:00"/>
    <x v="0"/>
    <x v="2"/>
    <s v="Electronics"/>
    <x v="1"/>
    <x v="2"/>
    <s v="Online"/>
    <x v="6"/>
    <n v="3"/>
    <x v="2"/>
    <x v="6"/>
    <n v="2025"/>
    <n v="2"/>
  </r>
  <r>
    <n v="1008"/>
    <d v="2025-02-02T00:00:00"/>
    <x v="0"/>
    <x v="2"/>
    <s v="Electronics"/>
    <x v="1"/>
    <x v="3"/>
    <s v="Offline"/>
    <x v="7"/>
    <n v="2"/>
    <x v="1"/>
    <x v="7"/>
    <n v="2025"/>
    <n v="2"/>
  </r>
  <r>
    <n v="1009"/>
    <d v="2025-02-01T00:00:00"/>
    <x v="1"/>
    <x v="3"/>
    <s v="Electronics"/>
    <x v="1"/>
    <x v="0"/>
    <s v="Online"/>
    <x v="8"/>
    <n v="2"/>
    <x v="2"/>
    <x v="8"/>
    <n v="2025"/>
    <n v="2"/>
  </r>
  <r>
    <n v="1010"/>
    <d v="2025-02-26T00:00:00"/>
    <x v="2"/>
    <x v="4"/>
    <s v="Electronics"/>
    <x v="2"/>
    <x v="1"/>
    <s v="Online"/>
    <x v="9"/>
    <n v="2"/>
    <x v="0"/>
    <x v="9"/>
    <n v="2025"/>
    <n v="2"/>
  </r>
  <r>
    <n v="1011"/>
    <d v="2025-02-26T00:00:00"/>
    <x v="1"/>
    <x v="3"/>
    <s v="Electronics"/>
    <x v="2"/>
    <x v="3"/>
    <s v="Offline"/>
    <x v="10"/>
    <n v="2"/>
    <x v="1"/>
    <x v="10"/>
    <n v="2025"/>
    <n v="2"/>
  </r>
  <r>
    <n v="1012"/>
    <d v="2025-02-15T00:00:00"/>
    <x v="2"/>
    <x v="5"/>
    <s v="Electronics"/>
    <x v="0"/>
    <x v="1"/>
    <s v="Online"/>
    <x v="11"/>
    <n v="1"/>
    <x v="3"/>
    <x v="11"/>
    <n v="2025"/>
    <n v="2"/>
  </r>
  <r>
    <n v="1013"/>
    <d v="2025-02-26T00:00:00"/>
    <x v="1"/>
    <x v="3"/>
    <s v="Electronics"/>
    <x v="0"/>
    <x v="2"/>
    <s v="Offline"/>
    <x v="12"/>
    <n v="3"/>
    <x v="3"/>
    <x v="12"/>
    <n v="2025"/>
    <n v="2"/>
  </r>
  <r>
    <n v="1014"/>
    <d v="2025-02-26T00:00:00"/>
    <x v="0"/>
    <x v="0"/>
    <s v="Electronics"/>
    <x v="2"/>
    <x v="3"/>
    <s v="Offline"/>
    <x v="13"/>
    <n v="1"/>
    <x v="1"/>
    <x v="13"/>
    <n v="2025"/>
    <n v="2"/>
  </r>
  <r>
    <n v="1015"/>
    <d v="2025-03-02T00:00:00"/>
    <x v="3"/>
    <x v="6"/>
    <s v="Electronics"/>
    <x v="2"/>
    <x v="3"/>
    <s v="Offline"/>
    <x v="14"/>
    <n v="1"/>
    <x v="0"/>
    <x v="14"/>
    <n v="2025"/>
    <n v="3"/>
  </r>
  <r>
    <n v="1016"/>
    <d v="2025-01-07T00:00:00"/>
    <x v="1"/>
    <x v="1"/>
    <s v="Electronics"/>
    <x v="2"/>
    <x v="1"/>
    <s v="Online"/>
    <x v="15"/>
    <n v="3"/>
    <x v="0"/>
    <x v="15"/>
    <n v="2025"/>
    <n v="1"/>
  </r>
  <r>
    <n v="1017"/>
    <d v="2025-01-02T00:00:00"/>
    <x v="1"/>
    <x v="3"/>
    <s v="Electronics"/>
    <x v="1"/>
    <x v="3"/>
    <s v="Online"/>
    <x v="16"/>
    <n v="2"/>
    <x v="1"/>
    <x v="16"/>
    <n v="2025"/>
    <n v="1"/>
  </r>
  <r>
    <n v="1018"/>
    <d v="2025-01-06T00:00:00"/>
    <x v="3"/>
    <x v="7"/>
    <s v="Electronics"/>
    <x v="2"/>
    <x v="2"/>
    <s v="Offline"/>
    <x v="17"/>
    <n v="3"/>
    <x v="0"/>
    <x v="17"/>
    <n v="2025"/>
    <n v="1"/>
  </r>
  <r>
    <n v="1019"/>
    <d v="2025-01-11T00:00:00"/>
    <x v="1"/>
    <x v="3"/>
    <s v="Electronics"/>
    <x v="1"/>
    <x v="0"/>
    <s v="Online"/>
    <x v="18"/>
    <n v="3"/>
    <x v="0"/>
    <x v="18"/>
    <n v="2025"/>
    <n v="1"/>
  </r>
  <r>
    <n v="1020"/>
    <d v="2025-02-16T00:00:00"/>
    <x v="1"/>
    <x v="1"/>
    <s v="Electronics"/>
    <x v="0"/>
    <x v="0"/>
    <s v="Online"/>
    <x v="19"/>
    <n v="2"/>
    <x v="3"/>
    <x v="19"/>
    <n v="2025"/>
    <n v="2"/>
  </r>
  <r>
    <n v="1021"/>
    <d v="2025-02-11T00:00:00"/>
    <x v="1"/>
    <x v="1"/>
    <s v="Electronics"/>
    <x v="1"/>
    <x v="1"/>
    <s v="Offline"/>
    <x v="20"/>
    <n v="2"/>
    <x v="3"/>
    <x v="20"/>
    <n v="2025"/>
    <n v="2"/>
  </r>
  <r>
    <n v="1022"/>
    <d v="2025-01-11T00:00:00"/>
    <x v="3"/>
    <x v="6"/>
    <s v="Electronics"/>
    <x v="0"/>
    <x v="3"/>
    <s v="Offline"/>
    <x v="21"/>
    <n v="3"/>
    <x v="2"/>
    <x v="21"/>
    <n v="2025"/>
    <n v="1"/>
  </r>
  <r>
    <n v="1023"/>
    <d v="2025-02-01T00:00:00"/>
    <x v="3"/>
    <x v="7"/>
    <s v="Electronics"/>
    <x v="1"/>
    <x v="0"/>
    <s v="Online"/>
    <x v="22"/>
    <n v="2"/>
    <x v="1"/>
    <x v="22"/>
    <n v="2025"/>
    <n v="2"/>
  </r>
  <r>
    <n v="1024"/>
    <d v="2025-01-31T00:00:00"/>
    <x v="0"/>
    <x v="2"/>
    <s v="Electronics"/>
    <x v="2"/>
    <x v="1"/>
    <s v="Offline"/>
    <x v="23"/>
    <n v="2"/>
    <x v="3"/>
    <x v="23"/>
    <n v="2025"/>
    <n v="1"/>
  </r>
  <r>
    <n v="1025"/>
    <d v="2025-01-08T00:00:00"/>
    <x v="3"/>
    <x v="7"/>
    <s v="Electronics"/>
    <x v="2"/>
    <x v="2"/>
    <s v="Online"/>
    <x v="24"/>
    <n v="3"/>
    <x v="1"/>
    <x v="24"/>
    <n v="2025"/>
    <n v="1"/>
  </r>
  <r>
    <n v="1026"/>
    <d v="2025-02-20T00:00:00"/>
    <x v="2"/>
    <x v="8"/>
    <s v="Electronics"/>
    <x v="1"/>
    <x v="1"/>
    <s v="Offline"/>
    <x v="25"/>
    <n v="3"/>
    <x v="1"/>
    <x v="25"/>
    <n v="2025"/>
    <n v="2"/>
  </r>
  <r>
    <n v="1027"/>
    <d v="2025-02-28T00:00:00"/>
    <x v="0"/>
    <x v="0"/>
    <s v="Electronics"/>
    <x v="2"/>
    <x v="3"/>
    <s v="Offline"/>
    <x v="26"/>
    <n v="2"/>
    <x v="3"/>
    <x v="26"/>
    <n v="2025"/>
    <n v="2"/>
  </r>
  <r>
    <n v="1028"/>
    <d v="2025-02-15T00:00:00"/>
    <x v="1"/>
    <x v="3"/>
    <s v="Electronics"/>
    <x v="2"/>
    <x v="0"/>
    <s v="Offline"/>
    <x v="27"/>
    <n v="1"/>
    <x v="0"/>
    <x v="27"/>
    <n v="2025"/>
    <n v="2"/>
  </r>
  <r>
    <n v="1029"/>
    <d v="2025-02-21T00:00:00"/>
    <x v="0"/>
    <x v="0"/>
    <s v="Electronics"/>
    <x v="0"/>
    <x v="1"/>
    <s v="Offline"/>
    <x v="28"/>
    <n v="3"/>
    <x v="1"/>
    <x v="28"/>
    <n v="2025"/>
    <n v="2"/>
  </r>
  <r>
    <n v="1030"/>
    <d v="2025-02-27T00:00:00"/>
    <x v="2"/>
    <x v="8"/>
    <s v="Electronics"/>
    <x v="2"/>
    <x v="2"/>
    <s v="Offline"/>
    <x v="29"/>
    <n v="2"/>
    <x v="3"/>
    <x v="29"/>
    <n v="2025"/>
    <n v="2"/>
  </r>
  <r>
    <n v="1031"/>
    <d v="2025-01-07T00:00:00"/>
    <x v="2"/>
    <x v="8"/>
    <s v="Electronics"/>
    <x v="0"/>
    <x v="3"/>
    <s v="Offline"/>
    <x v="30"/>
    <n v="1"/>
    <x v="2"/>
    <x v="30"/>
    <n v="2025"/>
    <n v="1"/>
  </r>
  <r>
    <n v="1032"/>
    <d v="2025-01-25T00:00:00"/>
    <x v="2"/>
    <x v="4"/>
    <s v="Electronics"/>
    <x v="2"/>
    <x v="0"/>
    <s v="Offline"/>
    <x v="31"/>
    <n v="2"/>
    <x v="1"/>
    <x v="31"/>
    <n v="2025"/>
    <n v="1"/>
  </r>
  <r>
    <n v="1033"/>
    <d v="2025-02-13T00:00:00"/>
    <x v="2"/>
    <x v="5"/>
    <s v="Electronics"/>
    <x v="2"/>
    <x v="2"/>
    <s v="Online"/>
    <x v="32"/>
    <n v="3"/>
    <x v="3"/>
    <x v="32"/>
    <n v="2025"/>
    <n v="2"/>
  </r>
  <r>
    <n v="1034"/>
    <d v="2025-02-14T00:00:00"/>
    <x v="3"/>
    <x v="6"/>
    <s v="Electronics"/>
    <x v="2"/>
    <x v="3"/>
    <s v="Offline"/>
    <x v="33"/>
    <n v="1"/>
    <x v="3"/>
    <x v="33"/>
    <n v="2025"/>
    <n v="2"/>
  </r>
  <r>
    <n v="1035"/>
    <d v="2025-02-10T00:00:00"/>
    <x v="3"/>
    <x v="7"/>
    <s v="Electronics"/>
    <x v="2"/>
    <x v="0"/>
    <s v="Offline"/>
    <x v="34"/>
    <n v="2"/>
    <x v="1"/>
    <x v="34"/>
    <n v="2025"/>
    <n v="2"/>
  </r>
  <r>
    <n v="1036"/>
    <d v="2025-01-10T00:00:00"/>
    <x v="2"/>
    <x v="5"/>
    <s v="Electronics"/>
    <x v="0"/>
    <x v="1"/>
    <s v="Offline"/>
    <x v="35"/>
    <n v="1"/>
    <x v="1"/>
    <x v="35"/>
    <n v="2025"/>
    <n v="1"/>
  </r>
  <r>
    <n v="1037"/>
    <d v="2025-01-13T00:00:00"/>
    <x v="2"/>
    <x v="8"/>
    <s v="Electronics"/>
    <x v="0"/>
    <x v="3"/>
    <s v="Offline"/>
    <x v="36"/>
    <n v="2"/>
    <x v="2"/>
    <x v="36"/>
    <n v="2025"/>
    <n v="1"/>
  </r>
  <r>
    <n v="1038"/>
    <d v="2025-02-17T00:00:00"/>
    <x v="3"/>
    <x v="6"/>
    <s v="Electronics"/>
    <x v="1"/>
    <x v="2"/>
    <s v="Online"/>
    <x v="37"/>
    <n v="2"/>
    <x v="1"/>
    <x v="37"/>
    <n v="2025"/>
    <n v="2"/>
  </r>
  <r>
    <n v="1039"/>
    <d v="2025-01-13T00:00:00"/>
    <x v="3"/>
    <x v="7"/>
    <s v="Electronics"/>
    <x v="2"/>
    <x v="1"/>
    <s v="Offline"/>
    <x v="38"/>
    <n v="3"/>
    <x v="1"/>
    <x v="38"/>
    <n v="2025"/>
    <n v="1"/>
  </r>
  <r>
    <n v="1040"/>
    <d v="2025-01-10T00:00:00"/>
    <x v="2"/>
    <x v="5"/>
    <s v="Electronics"/>
    <x v="2"/>
    <x v="3"/>
    <s v="Offline"/>
    <x v="39"/>
    <n v="3"/>
    <x v="1"/>
    <x v="39"/>
    <n v="2025"/>
    <n v="1"/>
  </r>
  <r>
    <n v="1041"/>
    <d v="2025-01-16T00:00:00"/>
    <x v="2"/>
    <x v="8"/>
    <s v="Electronics"/>
    <x v="2"/>
    <x v="2"/>
    <s v="Offline"/>
    <x v="40"/>
    <n v="1"/>
    <x v="2"/>
    <x v="40"/>
    <n v="2025"/>
    <n v="1"/>
  </r>
  <r>
    <n v="1042"/>
    <d v="2025-02-18T00:00:00"/>
    <x v="2"/>
    <x v="5"/>
    <s v="Electronics"/>
    <x v="0"/>
    <x v="2"/>
    <s v="Offline"/>
    <x v="41"/>
    <n v="3"/>
    <x v="2"/>
    <x v="41"/>
    <n v="2025"/>
    <n v="2"/>
  </r>
  <r>
    <n v="1043"/>
    <d v="2025-01-01T00:00:00"/>
    <x v="1"/>
    <x v="1"/>
    <s v="Electronics"/>
    <x v="1"/>
    <x v="0"/>
    <s v="Offline"/>
    <x v="42"/>
    <n v="1"/>
    <x v="3"/>
    <x v="42"/>
    <n v="2025"/>
    <n v="1"/>
  </r>
  <r>
    <n v="1044"/>
    <d v="2025-01-26T00:00:00"/>
    <x v="1"/>
    <x v="3"/>
    <s v="Electronics"/>
    <x v="0"/>
    <x v="3"/>
    <s v="Offline"/>
    <x v="43"/>
    <n v="1"/>
    <x v="1"/>
    <x v="43"/>
    <n v="2025"/>
    <n v="1"/>
  </r>
  <r>
    <n v="1045"/>
    <d v="2025-03-01T00:00:00"/>
    <x v="3"/>
    <x v="6"/>
    <s v="Electronics"/>
    <x v="2"/>
    <x v="2"/>
    <s v="Offline"/>
    <x v="44"/>
    <n v="3"/>
    <x v="3"/>
    <x v="44"/>
    <n v="2025"/>
    <n v="3"/>
  </r>
  <r>
    <n v="1046"/>
    <d v="2025-01-08T00:00:00"/>
    <x v="1"/>
    <x v="3"/>
    <s v="Electronics"/>
    <x v="2"/>
    <x v="2"/>
    <s v="Online"/>
    <x v="45"/>
    <n v="1"/>
    <x v="0"/>
    <x v="45"/>
    <n v="2025"/>
    <n v="1"/>
  </r>
  <r>
    <n v="1047"/>
    <d v="2025-03-01T00:00:00"/>
    <x v="1"/>
    <x v="1"/>
    <s v="Electronics"/>
    <x v="0"/>
    <x v="0"/>
    <s v="Online"/>
    <x v="46"/>
    <n v="1"/>
    <x v="0"/>
    <x v="46"/>
    <n v="2025"/>
    <n v="3"/>
  </r>
  <r>
    <n v="1048"/>
    <d v="2025-01-17T00:00:00"/>
    <x v="3"/>
    <x v="6"/>
    <s v="Electronics"/>
    <x v="2"/>
    <x v="3"/>
    <s v="Online"/>
    <x v="47"/>
    <n v="1"/>
    <x v="3"/>
    <x v="47"/>
    <n v="2025"/>
    <n v="1"/>
  </r>
  <r>
    <n v="1049"/>
    <d v="2025-01-17T00:00:00"/>
    <x v="1"/>
    <x v="3"/>
    <s v="Electronics"/>
    <x v="0"/>
    <x v="2"/>
    <s v="Online"/>
    <x v="48"/>
    <n v="3"/>
    <x v="0"/>
    <x v="48"/>
    <n v="2025"/>
    <n v="1"/>
  </r>
  <r>
    <n v="1050"/>
    <d v="2025-01-06T00:00:00"/>
    <x v="1"/>
    <x v="3"/>
    <s v="Electronics"/>
    <x v="0"/>
    <x v="3"/>
    <s v="Offline"/>
    <x v="49"/>
    <n v="1"/>
    <x v="2"/>
    <x v="49"/>
    <n v="2025"/>
    <n v="1"/>
  </r>
  <r>
    <n v="1051"/>
    <d v="2025-02-17T00:00:00"/>
    <x v="0"/>
    <x v="0"/>
    <s v="Electronics"/>
    <x v="0"/>
    <x v="1"/>
    <s v="Online"/>
    <x v="50"/>
    <n v="3"/>
    <x v="3"/>
    <x v="50"/>
    <n v="2025"/>
    <n v="2"/>
  </r>
  <r>
    <n v="1052"/>
    <d v="2025-02-12T00:00:00"/>
    <x v="1"/>
    <x v="3"/>
    <s v="Electronics"/>
    <x v="2"/>
    <x v="3"/>
    <s v="Online"/>
    <x v="51"/>
    <n v="1"/>
    <x v="0"/>
    <x v="51"/>
    <n v="2025"/>
    <n v="2"/>
  </r>
  <r>
    <n v="1053"/>
    <d v="2025-02-04T00:00:00"/>
    <x v="1"/>
    <x v="1"/>
    <s v="Electronics"/>
    <x v="1"/>
    <x v="3"/>
    <s v="Offline"/>
    <x v="52"/>
    <n v="2"/>
    <x v="2"/>
    <x v="52"/>
    <n v="2025"/>
    <n v="2"/>
  </r>
  <r>
    <n v="1054"/>
    <d v="2025-01-13T00:00:00"/>
    <x v="3"/>
    <x v="7"/>
    <s v="Electronics"/>
    <x v="0"/>
    <x v="2"/>
    <s v="Online"/>
    <x v="53"/>
    <n v="3"/>
    <x v="3"/>
    <x v="53"/>
    <n v="2025"/>
    <n v="1"/>
  </r>
  <r>
    <n v="1055"/>
    <d v="2025-01-16T00:00:00"/>
    <x v="0"/>
    <x v="0"/>
    <s v="Electronics"/>
    <x v="1"/>
    <x v="2"/>
    <s v="Offline"/>
    <x v="54"/>
    <n v="3"/>
    <x v="2"/>
    <x v="54"/>
    <n v="2025"/>
    <n v="1"/>
  </r>
  <r>
    <n v="1056"/>
    <d v="2025-02-26T00:00:00"/>
    <x v="1"/>
    <x v="3"/>
    <s v="Electronics"/>
    <x v="0"/>
    <x v="2"/>
    <s v="Offline"/>
    <x v="55"/>
    <n v="1"/>
    <x v="1"/>
    <x v="55"/>
    <n v="2025"/>
    <n v="2"/>
  </r>
  <r>
    <n v="1057"/>
    <d v="2025-02-25T00:00:00"/>
    <x v="3"/>
    <x v="6"/>
    <s v="Electronics"/>
    <x v="0"/>
    <x v="2"/>
    <s v="Online"/>
    <x v="56"/>
    <n v="3"/>
    <x v="2"/>
    <x v="56"/>
    <n v="2025"/>
    <n v="2"/>
  </r>
  <r>
    <n v="1058"/>
    <d v="2025-01-18T00:00:00"/>
    <x v="0"/>
    <x v="2"/>
    <s v="Electronics"/>
    <x v="2"/>
    <x v="1"/>
    <s v="Online"/>
    <x v="57"/>
    <n v="2"/>
    <x v="2"/>
    <x v="57"/>
    <n v="2025"/>
    <n v="1"/>
  </r>
  <r>
    <n v="1059"/>
    <d v="2025-01-09T00:00:00"/>
    <x v="2"/>
    <x v="4"/>
    <s v="Electronics"/>
    <x v="1"/>
    <x v="2"/>
    <s v="Offline"/>
    <x v="58"/>
    <n v="1"/>
    <x v="2"/>
    <x v="58"/>
    <n v="2025"/>
    <n v="1"/>
  </r>
  <r>
    <n v="1060"/>
    <d v="2025-02-07T00:00:00"/>
    <x v="1"/>
    <x v="1"/>
    <s v="Electronics"/>
    <x v="1"/>
    <x v="1"/>
    <s v="Online"/>
    <x v="59"/>
    <n v="1"/>
    <x v="3"/>
    <x v="59"/>
    <n v="2025"/>
    <n v="2"/>
  </r>
  <r>
    <n v="1061"/>
    <d v="2025-01-13T00:00:00"/>
    <x v="0"/>
    <x v="0"/>
    <s v="Electronics"/>
    <x v="2"/>
    <x v="3"/>
    <s v="Offline"/>
    <x v="60"/>
    <n v="3"/>
    <x v="2"/>
    <x v="60"/>
    <n v="2025"/>
    <n v="1"/>
  </r>
  <r>
    <n v="1062"/>
    <d v="2025-01-27T00:00:00"/>
    <x v="0"/>
    <x v="0"/>
    <s v="Electronics"/>
    <x v="0"/>
    <x v="3"/>
    <s v="Offline"/>
    <x v="61"/>
    <n v="1"/>
    <x v="1"/>
    <x v="61"/>
    <n v="2025"/>
    <n v="1"/>
  </r>
  <r>
    <n v="1063"/>
    <d v="2025-02-19T00:00:00"/>
    <x v="3"/>
    <x v="6"/>
    <s v="Electronics"/>
    <x v="2"/>
    <x v="0"/>
    <s v="Online"/>
    <x v="62"/>
    <n v="2"/>
    <x v="0"/>
    <x v="62"/>
    <n v="2025"/>
    <n v="2"/>
  </r>
  <r>
    <n v="1064"/>
    <d v="2025-01-15T00:00:00"/>
    <x v="3"/>
    <x v="7"/>
    <s v="Electronics"/>
    <x v="1"/>
    <x v="1"/>
    <s v="Online"/>
    <x v="63"/>
    <n v="2"/>
    <x v="0"/>
    <x v="63"/>
    <n v="2025"/>
    <n v="1"/>
  </r>
  <r>
    <n v="1065"/>
    <d v="2025-02-13T00:00:00"/>
    <x v="0"/>
    <x v="2"/>
    <s v="Electronics"/>
    <x v="1"/>
    <x v="2"/>
    <s v="Offline"/>
    <x v="64"/>
    <n v="2"/>
    <x v="1"/>
    <x v="64"/>
    <n v="2025"/>
    <n v="2"/>
  </r>
  <r>
    <n v="1066"/>
    <d v="2025-01-29T00:00:00"/>
    <x v="3"/>
    <x v="7"/>
    <s v="Electronics"/>
    <x v="2"/>
    <x v="2"/>
    <s v="Offline"/>
    <x v="65"/>
    <n v="1"/>
    <x v="0"/>
    <x v="65"/>
    <n v="2025"/>
    <n v="1"/>
  </r>
  <r>
    <n v="1067"/>
    <d v="2025-02-01T00:00:00"/>
    <x v="2"/>
    <x v="5"/>
    <s v="Electronics"/>
    <x v="0"/>
    <x v="0"/>
    <s v="Offline"/>
    <x v="66"/>
    <n v="3"/>
    <x v="0"/>
    <x v="66"/>
    <n v="2025"/>
    <n v="2"/>
  </r>
  <r>
    <n v="1068"/>
    <d v="2025-02-23T00:00:00"/>
    <x v="1"/>
    <x v="1"/>
    <s v="Electronics"/>
    <x v="1"/>
    <x v="0"/>
    <s v="Online"/>
    <x v="67"/>
    <n v="3"/>
    <x v="0"/>
    <x v="67"/>
    <n v="2025"/>
    <n v="2"/>
  </r>
  <r>
    <n v="1069"/>
    <d v="2025-01-01T00:00:00"/>
    <x v="1"/>
    <x v="1"/>
    <s v="Electronics"/>
    <x v="0"/>
    <x v="0"/>
    <s v="Online"/>
    <x v="68"/>
    <n v="1"/>
    <x v="3"/>
    <x v="68"/>
    <n v="2025"/>
    <n v="1"/>
  </r>
  <r>
    <n v="1070"/>
    <d v="2025-01-24T00:00:00"/>
    <x v="1"/>
    <x v="1"/>
    <s v="Electronics"/>
    <x v="2"/>
    <x v="0"/>
    <s v="Offline"/>
    <x v="69"/>
    <n v="3"/>
    <x v="3"/>
    <x v="69"/>
    <n v="2025"/>
    <n v="1"/>
  </r>
  <r>
    <n v="1071"/>
    <d v="2025-01-24T00:00:00"/>
    <x v="1"/>
    <x v="3"/>
    <s v="Electronics"/>
    <x v="2"/>
    <x v="2"/>
    <s v="Offline"/>
    <x v="70"/>
    <n v="2"/>
    <x v="2"/>
    <x v="70"/>
    <n v="2025"/>
    <n v="1"/>
  </r>
  <r>
    <n v="1072"/>
    <d v="2025-01-28T00:00:00"/>
    <x v="0"/>
    <x v="2"/>
    <s v="Electronics"/>
    <x v="1"/>
    <x v="1"/>
    <s v="Online"/>
    <x v="71"/>
    <n v="2"/>
    <x v="0"/>
    <x v="71"/>
    <n v="2025"/>
    <n v="1"/>
  </r>
  <r>
    <n v="1073"/>
    <d v="2025-02-04T00:00:00"/>
    <x v="3"/>
    <x v="6"/>
    <s v="Electronics"/>
    <x v="2"/>
    <x v="0"/>
    <s v="Offline"/>
    <x v="72"/>
    <n v="2"/>
    <x v="3"/>
    <x v="72"/>
    <n v="2025"/>
    <n v="2"/>
  </r>
  <r>
    <n v="1074"/>
    <d v="2025-01-03T00:00:00"/>
    <x v="3"/>
    <x v="6"/>
    <s v="Electronics"/>
    <x v="1"/>
    <x v="3"/>
    <s v="Offline"/>
    <x v="73"/>
    <n v="3"/>
    <x v="1"/>
    <x v="73"/>
    <n v="2025"/>
    <n v="1"/>
  </r>
  <r>
    <n v="1075"/>
    <d v="2025-01-22T00:00:00"/>
    <x v="2"/>
    <x v="5"/>
    <s v="Electronics"/>
    <x v="2"/>
    <x v="0"/>
    <s v="Offline"/>
    <x v="74"/>
    <n v="3"/>
    <x v="1"/>
    <x v="74"/>
    <n v="2025"/>
    <n v="1"/>
  </r>
  <r>
    <n v="1076"/>
    <d v="2025-02-23T00:00:00"/>
    <x v="2"/>
    <x v="8"/>
    <s v="Electronics"/>
    <x v="2"/>
    <x v="3"/>
    <s v="Offline"/>
    <x v="75"/>
    <n v="3"/>
    <x v="1"/>
    <x v="75"/>
    <n v="2025"/>
    <n v="2"/>
  </r>
  <r>
    <n v="1077"/>
    <d v="2025-02-18T00:00:00"/>
    <x v="3"/>
    <x v="7"/>
    <s v="Electronics"/>
    <x v="2"/>
    <x v="3"/>
    <s v="Online"/>
    <x v="76"/>
    <n v="2"/>
    <x v="1"/>
    <x v="76"/>
    <n v="2025"/>
    <n v="2"/>
  </r>
  <r>
    <n v="1078"/>
    <d v="2025-01-15T00:00:00"/>
    <x v="2"/>
    <x v="8"/>
    <s v="Electronics"/>
    <x v="1"/>
    <x v="3"/>
    <s v="Offline"/>
    <x v="77"/>
    <n v="3"/>
    <x v="1"/>
    <x v="77"/>
    <n v="2025"/>
    <n v="1"/>
  </r>
  <r>
    <n v="1079"/>
    <d v="2025-02-03T00:00:00"/>
    <x v="3"/>
    <x v="6"/>
    <s v="Electronics"/>
    <x v="2"/>
    <x v="3"/>
    <s v="Online"/>
    <x v="78"/>
    <n v="1"/>
    <x v="2"/>
    <x v="78"/>
    <n v="2025"/>
    <n v="2"/>
  </r>
  <r>
    <n v="1080"/>
    <d v="2025-01-07T00:00:00"/>
    <x v="0"/>
    <x v="2"/>
    <s v="Electronics"/>
    <x v="1"/>
    <x v="2"/>
    <s v="Offline"/>
    <x v="79"/>
    <n v="1"/>
    <x v="1"/>
    <x v="79"/>
    <n v="2025"/>
    <n v="1"/>
  </r>
  <r>
    <n v="1081"/>
    <d v="2025-01-14T00:00:00"/>
    <x v="2"/>
    <x v="5"/>
    <s v="Electronics"/>
    <x v="2"/>
    <x v="3"/>
    <s v="Offline"/>
    <x v="80"/>
    <n v="3"/>
    <x v="3"/>
    <x v="80"/>
    <n v="2025"/>
    <n v="1"/>
  </r>
  <r>
    <n v="1082"/>
    <d v="2025-01-23T00:00:00"/>
    <x v="2"/>
    <x v="5"/>
    <s v="Electronics"/>
    <x v="2"/>
    <x v="0"/>
    <s v="Online"/>
    <x v="81"/>
    <n v="3"/>
    <x v="3"/>
    <x v="81"/>
    <n v="2025"/>
    <n v="1"/>
  </r>
  <r>
    <n v="1083"/>
    <d v="2025-01-11T00:00:00"/>
    <x v="3"/>
    <x v="6"/>
    <s v="Electronics"/>
    <x v="2"/>
    <x v="3"/>
    <s v="Offline"/>
    <x v="82"/>
    <n v="3"/>
    <x v="2"/>
    <x v="82"/>
    <n v="2025"/>
    <n v="1"/>
  </r>
  <r>
    <n v="1084"/>
    <d v="2025-02-03T00:00:00"/>
    <x v="2"/>
    <x v="5"/>
    <s v="Electronics"/>
    <x v="2"/>
    <x v="2"/>
    <s v="Offline"/>
    <x v="83"/>
    <n v="3"/>
    <x v="1"/>
    <x v="83"/>
    <n v="2025"/>
    <n v="2"/>
  </r>
  <r>
    <n v="1085"/>
    <d v="2025-02-17T00:00:00"/>
    <x v="1"/>
    <x v="1"/>
    <s v="Electronics"/>
    <x v="0"/>
    <x v="3"/>
    <s v="Offline"/>
    <x v="84"/>
    <n v="2"/>
    <x v="3"/>
    <x v="84"/>
    <n v="2025"/>
    <n v="2"/>
  </r>
  <r>
    <n v="1086"/>
    <d v="2025-01-28T00:00:00"/>
    <x v="2"/>
    <x v="5"/>
    <s v="Electronics"/>
    <x v="0"/>
    <x v="2"/>
    <s v="Offline"/>
    <x v="85"/>
    <n v="2"/>
    <x v="0"/>
    <x v="85"/>
    <n v="2025"/>
    <n v="1"/>
  </r>
  <r>
    <n v="1087"/>
    <d v="2025-02-26T00:00:00"/>
    <x v="2"/>
    <x v="8"/>
    <s v="Electronics"/>
    <x v="0"/>
    <x v="1"/>
    <s v="Offline"/>
    <x v="86"/>
    <n v="1"/>
    <x v="0"/>
    <x v="86"/>
    <n v="2025"/>
    <n v="2"/>
  </r>
  <r>
    <n v="1088"/>
    <d v="2025-01-04T00:00:00"/>
    <x v="0"/>
    <x v="2"/>
    <s v="Electronics"/>
    <x v="0"/>
    <x v="0"/>
    <s v="Online"/>
    <x v="87"/>
    <n v="2"/>
    <x v="1"/>
    <x v="87"/>
    <n v="2025"/>
    <n v="1"/>
  </r>
  <r>
    <n v="1089"/>
    <d v="2025-01-08T00:00:00"/>
    <x v="2"/>
    <x v="4"/>
    <s v="Electronics"/>
    <x v="1"/>
    <x v="3"/>
    <s v="Offline"/>
    <x v="88"/>
    <n v="2"/>
    <x v="3"/>
    <x v="88"/>
    <n v="2025"/>
    <n v="1"/>
  </r>
  <r>
    <n v="1090"/>
    <d v="2025-01-27T00:00:00"/>
    <x v="3"/>
    <x v="6"/>
    <s v="Electronics"/>
    <x v="1"/>
    <x v="3"/>
    <s v="Online"/>
    <x v="89"/>
    <n v="2"/>
    <x v="1"/>
    <x v="89"/>
    <n v="2025"/>
    <n v="1"/>
  </r>
  <r>
    <n v="1091"/>
    <d v="2025-01-19T00:00:00"/>
    <x v="2"/>
    <x v="4"/>
    <s v="Electronics"/>
    <x v="1"/>
    <x v="1"/>
    <s v="Online"/>
    <x v="90"/>
    <n v="1"/>
    <x v="0"/>
    <x v="90"/>
    <n v="2025"/>
    <n v="1"/>
  </r>
  <r>
    <n v="1092"/>
    <d v="2025-01-20T00:00:00"/>
    <x v="0"/>
    <x v="2"/>
    <s v="Electronics"/>
    <x v="1"/>
    <x v="2"/>
    <s v="Online"/>
    <x v="91"/>
    <n v="1"/>
    <x v="3"/>
    <x v="91"/>
    <n v="2025"/>
    <n v="1"/>
  </r>
  <r>
    <n v="1093"/>
    <d v="2025-01-22T00:00:00"/>
    <x v="0"/>
    <x v="0"/>
    <s v="Electronics"/>
    <x v="1"/>
    <x v="3"/>
    <s v="Offline"/>
    <x v="92"/>
    <n v="3"/>
    <x v="0"/>
    <x v="92"/>
    <n v="2025"/>
    <n v="1"/>
  </r>
  <r>
    <n v="1094"/>
    <d v="2025-01-10T00:00:00"/>
    <x v="2"/>
    <x v="8"/>
    <s v="Electronics"/>
    <x v="1"/>
    <x v="1"/>
    <s v="Online"/>
    <x v="93"/>
    <n v="2"/>
    <x v="2"/>
    <x v="93"/>
    <n v="2025"/>
    <n v="1"/>
  </r>
  <r>
    <n v="1095"/>
    <d v="2025-02-28T00:00:00"/>
    <x v="1"/>
    <x v="1"/>
    <s v="Electronics"/>
    <x v="0"/>
    <x v="1"/>
    <s v="Offline"/>
    <x v="94"/>
    <n v="1"/>
    <x v="1"/>
    <x v="94"/>
    <n v="2025"/>
    <n v="2"/>
  </r>
  <r>
    <n v="1096"/>
    <d v="2025-01-27T00:00:00"/>
    <x v="0"/>
    <x v="2"/>
    <s v="Electronics"/>
    <x v="2"/>
    <x v="1"/>
    <s v="Online"/>
    <x v="95"/>
    <n v="2"/>
    <x v="3"/>
    <x v="95"/>
    <n v="2025"/>
    <n v="1"/>
  </r>
  <r>
    <n v="1097"/>
    <d v="2025-01-14T00:00:00"/>
    <x v="0"/>
    <x v="0"/>
    <s v="Electronics"/>
    <x v="0"/>
    <x v="2"/>
    <s v="Offline"/>
    <x v="96"/>
    <n v="3"/>
    <x v="3"/>
    <x v="96"/>
    <n v="2025"/>
    <n v="1"/>
  </r>
  <r>
    <n v="1098"/>
    <d v="2025-02-03T00:00:00"/>
    <x v="3"/>
    <x v="7"/>
    <s v="Electronics"/>
    <x v="2"/>
    <x v="0"/>
    <s v="Online"/>
    <x v="97"/>
    <n v="2"/>
    <x v="3"/>
    <x v="97"/>
    <n v="2025"/>
    <n v="2"/>
  </r>
  <r>
    <n v="1099"/>
    <d v="2025-01-10T00:00:00"/>
    <x v="0"/>
    <x v="0"/>
    <s v="Electronics"/>
    <x v="2"/>
    <x v="3"/>
    <s v="Online"/>
    <x v="98"/>
    <n v="2"/>
    <x v="0"/>
    <x v="98"/>
    <n v="2025"/>
    <n v="1"/>
  </r>
  <r>
    <n v="1100"/>
    <d v="2025-02-08T00:00:00"/>
    <x v="3"/>
    <x v="7"/>
    <s v="Electronics"/>
    <x v="1"/>
    <x v="3"/>
    <s v="Online"/>
    <x v="99"/>
    <n v="1"/>
    <x v="1"/>
    <x v="99"/>
    <n v="2025"/>
    <n v="2"/>
  </r>
  <r>
    <n v="1101"/>
    <d v="2025-02-09T00:00:00"/>
    <x v="0"/>
    <x v="0"/>
    <s v="Electronics"/>
    <x v="2"/>
    <x v="0"/>
    <s v="Online"/>
    <x v="100"/>
    <n v="1"/>
    <x v="2"/>
    <x v="100"/>
    <n v="2025"/>
    <n v="2"/>
  </r>
  <r>
    <n v="1102"/>
    <d v="2025-02-13T00:00:00"/>
    <x v="1"/>
    <x v="3"/>
    <s v="Electronics"/>
    <x v="2"/>
    <x v="0"/>
    <s v="Online"/>
    <x v="101"/>
    <n v="1"/>
    <x v="3"/>
    <x v="101"/>
    <n v="2025"/>
    <n v="2"/>
  </r>
  <r>
    <n v="1103"/>
    <d v="2025-01-08T00:00:00"/>
    <x v="2"/>
    <x v="5"/>
    <s v="Electronics"/>
    <x v="2"/>
    <x v="1"/>
    <s v="Online"/>
    <x v="102"/>
    <n v="2"/>
    <x v="1"/>
    <x v="102"/>
    <n v="2025"/>
    <n v="1"/>
  </r>
  <r>
    <n v="1104"/>
    <d v="2025-01-27T00:00:00"/>
    <x v="2"/>
    <x v="5"/>
    <s v="Electronics"/>
    <x v="0"/>
    <x v="3"/>
    <s v="Online"/>
    <x v="103"/>
    <n v="2"/>
    <x v="0"/>
    <x v="103"/>
    <n v="2025"/>
    <n v="1"/>
  </r>
  <r>
    <n v="1105"/>
    <d v="2025-01-31T00:00:00"/>
    <x v="2"/>
    <x v="4"/>
    <s v="Electronics"/>
    <x v="1"/>
    <x v="3"/>
    <s v="Offline"/>
    <x v="104"/>
    <n v="2"/>
    <x v="3"/>
    <x v="104"/>
    <n v="2025"/>
    <n v="1"/>
  </r>
  <r>
    <n v="1106"/>
    <d v="2025-01-06T00:00:00"/>
    <x v="3"/>
    <x v="6"/>
    <s v="Electronics"/>
    <x v="0"/>
    <x v="1"/>
    <s v="Offline"/>
    <x v="105"/>
    <n v="2"/>
    <x v="2"/>
    <x v="105"/>
    <n v="2025"/>
    <n v="1"/>
  </r>
  <r>
    <n v="1107"/>
    <d v="2025-02-23T00:00:00"/>
    <x v="1"/>
    <x v="3"/>
    <s v="Electronics"/>
    <x v="2"/>
    <x v="2"/>
    <s v="Online"/>
    <x v="106"/>
    <n v="3"/>
    <x v="0"/>
    <x v="106"/>
    <n v="2025"/>
    <n v="2"/>
  </r>
  <r>
    <n v="1108"/>
    <d v="2025-02-26T00:00:00"/>
    <x v="3"/>
    <x v="6"/>
    <s v="Electronics"/>
    <x v="1"/>
    <x v="3"/>
    <s v="Online"/>
    <x v="107"/>
    <n v="3"/>
    <x v="1"/>
    <x v="107"/>
    <n v="2025"/>
    <n v="2"/>
  </r>
  <r>
    <n v="1109"/>
    <d v="2025-01-20T00:00:00"/>
    <x v="1"/>
    <x v="1"/>
    <s v="Electronics"/>
    <x v="0"/>
    <x v="3"/>
    <s v="Online"/>
    <x v="108"/>
    <n v="1"/>
    <x v="2"/>
    <x v="108"/>
    <n v="2025"/>
    <n v="1"/>
  </r>
  <r>
    <n v="1110"/>
    <d v="2025-01-26T00:00:00"/>
    <x v="1"/>
    <x v="3"/>
    <s v="Electronics"/>
    <x v="2"/>
    <x v="2"/>
    <s v="Online"/>
    <x v="109"/>
    <n v="3"/>
    <x v="0"/>
    <x v="109"/>
    <n v="2025"/>
    <n v="1"/>
  </r>
  <r>
    <n v="1111"/>
    <d v="2025-01-19T00:00:00"/>
    <x v="2"/>
    <x v="8"/>
    <s v="Electronics"/>
    <x v="1"/>
    <x v="1"/>
    <s v="Online"/>
    <x v="110"/>
    <n v="3"/>
    <x v="0"/>
    <x v="110"/>
    <n v="2025"/>
    <n v="1"/>
  </r>
  <r>
    <n v="1112"/>
    <d v="2025-01-24T00:00:00"/>
    <x v="0"/>
    <x v="0"/>
    <s v="Electronics"/>
    <x v="1"/>
    <x v="1"/>
    <s v="Online"/>
    <x v="111"/>
    <n v="1"/>
    <x v="3"/>
    <x v="111"/>
    <n v="2025"/>
    <n v="1"/>
  </r>
  <r>
    <n v="1113"/>
    <d v="2025-02-13T00:00:00"/>
    <x v="0"/>
    <x v="0"/>
    <s v="Electronics"/>
    <x v="2"/>
    <x v="3"/>
    <s v="Online"/>
    <x v="112"/>
    <n v="2"/>
    <x v="3"/>
    <x v="112"/>
    <n v="2025"/>
    <n v="2"/>
  </r>
  <r>
    <n v="1114"/>
    <d v="2025-01-11T00:00:00"/>
    <x v="0"/>
    <x v="0"/>
    <s v="Electronics"/>
    <x v="0"/>
    <x v="1"/>
    <s v="Online"/>
    <x v="113"/>
    <n v="1"/>
    <x v="1"/>
    <x v="113"/>
    <n v="2025"/>
    <n v="1"/>
  </r>
  <r>
    <n v="1115"/>
    <d v="2025-02-03T00:00:00"/>
    <x v="0"/>
    <x v="0"/>
    <s v="Electronics"/>
    <x v="1"/>
    <x v="2"/>
    <s v="Offline"/>
    <x v="114"/>
    <n v="2"/>
    <x v="0"/>
    <x v="114"/>
    <n v="2025"/>
    <n v="2"/>
  </r>
  <r>
    <n v="1116"/>
    <d v="2025-01-11T00:00:00"/>
    <x v="3"/>
    <x v="7"/>
    <s v="Electronics"/>
    <x v="1"/>
    <x v="1"/>
    <s v="Online"/>
    <x v="115"/>
    <n v="2"/>
    <x v="1"/>
    <x v="115"/>
    <n v="2025"/>
    <n v="1"/>
  </r>
  <r>
    <n v="1117"/>
    <d v="2025-01-23T00:00:00"/>
    <x v="3"/>
    <x v="6"/>
    <s v="Electronics"/>
    <x v="0"/>
    <x v="3"/>
    <s v="Offline"/>
    <x v="116"/>
    <n v="1"/>
    <x v="3"/>
    <x v="116"/>
    <n v="2025"/>
    <n v="1"/>
  </r>
  <r>
    <n v="1118"/>
    <d v="2025-01-23T00:00:00"/>
    <x v="2"/>
    <x v="4"/>
    <s v="Electronics"/>
    <x v="2"/>
    <x v="0"/>
    <s v="Offline"/>
    <x v="117"/>
    <n v="1"/>
    <x v="0"/>
    <x v="117"/>
    <n v="2025"/>
    <n v="1"/>
  </r>
  <r>
    <n v="1119"/>
    <d v="2025-01-04T00:00:00"/>
    <x v="2"/>
    <x v="4"/>
    <s v="Electronics"/>
    <x v="0"/>
    <x v="2"/>
    <s v="Offline"/>
    <x v="118"/>
    <n v="1"/>
    <x v="1"/>
    <x v="118"/>
    <n v="2025"/>
    <n v="1"/>
  </r>
  <r>
    <n v="1120"/>
    <d v="2025-01-23T00:00:00"/>
    <x v="3"/>
    <x v="7"/>
    <s v="Electronics"/>
    <x v="1"/>
    <x v="3"/>
    <s v="Online"/>
    <x v="119"/>
    <n v="3"/>
    <x v="0"/>
    <x v="119"/>
    <n v="2025"/>
    <n v="1"/>
  </r>
  <r>
    <n v="1121"/>
    <d v="2025-01-25T00:00:00"/>
    <x v="3"/>
    <x v="7"/>
    <s v="Electronics"/>
    <x v="1"/>
    <x v="3"/>
    <s v="Offline"/>
    <x v="120"/>
    <n v="1"/>
    <x v="0"/>
    <x v="120"/>
    <n v="2025"/>
    <n v="1"/>
  </r>
  <r>
    <n v="1122"/>
    <d v="2025-01-25T00:00:00"/>
    <x v="3"/>
    <x v="6"/>
    <s v="Electronics"/>
    <x v="1"/>
    <x v="2"/>
    <s v="Online"/>
    <x v="121"/>
    <n v="2"/>
    <x v="1"/>
    <x v="121"/>
    <n v="2025"/>
    <n v="1"/>
  </r>
  <r>
    <n v="1123"/>
    <d v="2025-01-30T00:00:00"/>
    <x v="0"/>
    <x v="2"/>
    <s v="Electronics"/>
    <x v="0"/>
    <x v="0"/>
    <s v="Online"/>
    <x v="122"/>
    <n v="1"/>
    <x v="1"/>
    <x v="122"/>
    <n v="2025"/>
    <n v="1"/>
  </r>
  <r>
    <n v="1124"/>
    <d v="2025-01-08T00:00:00"/>
    <x v="3"/>
    <x v="7"/>
    <s v="Electronics"/>
    <x v="2"/>
    <x v="3"/>
    <s v="Offline"/>
    <x v="123"/>
    <n v="3"/>
    <x v="3"/>
    <x v="123"/>
    <n v="2025"/>
    <n v="1"/>
  </r>
  <r>
    <n v="1125"/>
    <d v="2025-02-16T00:00:00"/>
    <x v="0"/>
    <x v="2"/>
    <s v="Electronics"/>
    <x v="0"/>
    <x v="1"/>
    <s v="Offline"/>
    <x v="124"/>
    <n v="3"/>
    <x v="3"/>
    <x v="124"/>
    <n v="2025"/>
    <n v="2"/>
  </r>
  <r>
    <n v="1126"/>
    <d v="2025-01-12T00:00:00"/>
    <x v="0"/>
    <x v="2"/>
    <s v="Electronics"/>
    <x v="1"/>
    <x v="2"/>
    <s v="Offline"/>
    <x v="125"/>
    <n v="1"/>
    <x v="2"/>
    <x v="125"/>
    <n v="2025"/>
    <n v="1"/>
  </r>
  <r>
    <n v="1127"/>
    <d v="2025-02-11T00:00:00"/>
    <x v="1"/>
    <x v="3"/>
    <s v="Electronics"/>
    <x v="2"/>
    <x v="1"/>
    <s v="Online"/>
    <x v="126"/>
    <n v="2"/>
    <x v="0"/>
    <x v="126"/>
    <n v="2025"/>
    <n v="2"/>
  </r>
  <r>
    <n v="1128"/>
    <d v="2025-02-12T00:00:00"/>
    <x v="1"/>
    <x v="1"/>
    <s v="Electronics"/>
    <x v="2"/>
    <x v="1"/>
    <s v="Online"/>
    <x v="127"/>
    <n v="1"/>
    <x v="0"/>
    <x v="127"/>
    <n v="2025"/>
    <n v="2"/>
  </r>
  <r>
    <n v="1129"/>
    <d v="2025-01-04T00:00:00"/>
    <x v="2"/>
    <x v="8"/>
    <s v="Electronics"/>
    <x v="1"/>
    <x v="3"/>
    <s v="Online"/>
    <x v="128"/>
    <n v="3"/>
    <x v="1"/>
    <x v="128"/>
    <n v="2025"/>
    <n v="1"/>
  </r>
  <r>
    <n v="1130"/>
    <d v="2025-03-02T00:00:00"/>
    <x v="0"/>
    <x v="0"/>
    <s v="Electronics"/>
    <x v="2"/>
    <x v="1"/>
    <s v="Offline"/>
    <x v="129"/>
    <n v="2"/>
    <x v="3"/>
    <x v="129"/>
    <n v="2025"/>
    <n v="3"/>
  </r>
  <r>
    <n v="1131"/>
    <d v="2025-01-22T00:00:00"/>
    <x v="1"/>
    <x v="1"/>
    <s v="Electronics"/>
    <x v="2"/>
    <x v="2"/>
    <s v="Offline"/>
    <x v="130"/>
    <n v="3"/>
    <x v="1"/>
    <x v="130"/>
    <n v="2025"/>
    <n v="1"/>
  </r>
  <r>
    <n v="1132"/>
    <d v="2025-01-26T00:00:00"/>
    <x v="3"/>
    <x v="6"/>
    <s v="Electronics"/>
    <x v="1"/>
    <x v="2"/>
    <s v="Online"/>
    <x v="131"/>
    <n v="2"/>
    <x v="0"/>
    <x v="131"/>
    <n v="2025"/>
    <n v="1"/>
  </r>
  <r>
    <n v="1133"/>
    <d v="2025-01-28T00:00:00"/>
    <x v="3"/>
    <x v="7"/>
    <s v="Electronics"/>
    <x v="2"/>
    <x v="1"/>
    <s v="Online"/>
    <x v="132"/>
    <n v="2"/>
    <x v="1"/>
    <x v="132"/>
    <n v="2025"/>
    <n v="1"/>
  </r>
  <r>
    <n v="1134"/>
    <d v="2025-01-05T00:00:00"/>
    <x v="2"/>
    <x v="8"/>
    <s v="Electronics"/>
    <x v="2"/>
    <x v="1"/>
    <s v="Offline"/>
    <x v="133"/>
    <n v="1"/>
    <x v="2"/>
    <x v="133"/>
    <n v="2025"/>
    <n v="1"/>
  </r>
  <r>
    <n v="1135"/>
    <d v="2025-02-10T00:00:00"/>
    <x v="2"/>
    <x v="4"/>
    <s v="Electronics"/>
    <x v="0"/>
    <x v="2"/>
    <s v="Online"/>
    <x v="134"/>
    <n v="2"/>
    <x v="2"/>
    <x v="134"/>
    <n v="2025"/>
    <n v="2"/>
  </r>
  <r>
    <n v="1136"/>
    <d v="2025-01-06T00:00:00"/>
    <x v="3"/>
    <x v="7"/>
    <s v="Electronics"/>
    <x v="0"/>
    <x v="2"/>
    <s v="Online"/>
    <x v="135"/>
    <n v="1"/>
    <x v="3"/>
    <x v="135"/>
    <n v="2025"/>
    <n v="1"/>
  </r>
  <r>
    <n v="1137"/>
    <d v="2025-01-13T00:00:00"/>
    <x v="3"/>
    <x v="7"/>
    <s v="Electronics"/>
    <x v="2"/>
    <x v="3"/>
    <s v="Offline"/>
    <x v="136"/>
    <n v="2"/>
    <x v="1"/>
    <x v="136"/>
    <n v="2025"/>
    <n v="1"/>
  </r>
  <r>
    <n v="1138"/>
    <d v="2025-01-27T00:00:00"/>
    <x v="2"/>
    <x v="8"/>
    <s v="Electronics"/>
    <x v="1"/>
    <x v="1"/>
    <s v="Online"/>
    <x v="137"/>
    <n v="2"/>
    <x v="2"/>
    <x v="137"/>
    <n v="2025"/>
    <n v="1"/>
  </r>
  <r>
    <n v="1139"/>
    <d v="2025-01-07T00:00:00"/>
    <x v="3"/>
    <x v="6"/>
    <s v="Electronics"/>
    <x v="2"/>
    <x v="0"/>
    <s v="Online"/>
    <x v="138"/>
    <n v="2"/>
    <x v="3"/>
    <x v="138"/>
    <n v="2025"/>
    <n v="1"/>
  </r>
  <r>
    <n v="1140"/>
    <d v="2025-01-21T00:00:00"/>
    <x v="0"/>
    <x v="0"/>
    <s v="Electronics"/>
    <x v="1"/>
    <x v="3"/>
    <s v="Offline"/>
    <x v="139"/>
    <n v="3"/>
    <x v="2"/>
    <x v="139"/>
    <n v="2025"/>
    <n v="1"/>
  </r>
  <r>
    <n v="1141"/>
    <d v="2025-02-15T00:00:00"/>
    <x v="3"/>
    <x v="6"/>
    <s v="Electronics"/>
    <x v="1"/>
    <x v="3"/>
    <s v="Online"/>
    <x v="140"/>
    <n v="1"/>
    <x v="0"/>
    <x v="140"/>
    <n v="2025"/>
    <n v="2"/>
  </r>
  <r>
    <n v="1142"/>
    <d v="2025-01-26T00:00:00"/>
    <x v="2"/>
    <x v="4"/>
    <s v="Electronics"/>
    <x v="2"/>
    <x v="1"/>
    <s v="Offline"/>
    <x v="141"/>
    <n v="2"/>
    <x v="0"/>
    <x v="141"/>
    <n v="2025"/>
    <n v="1"/>
  </r>
  <r>
    <n v="1143"/>
    <d v="2025-01-21T00:00:00"/>
    <x v="2"/>
    <x v="8"/>
    <s v="Electronics"/>
    <x v="0"/>
    <x v="3"/>
    <s v="Offline"/>
    <x v="142"/>
    <n v="1"/>
    <x v="1"/>
    <x v="142"/>
    <n v="2025"/>
    <n v="1"/>
  </r>
  <r>
    <n v="1144"/>
    <d v="2025-02-06T00:00:00"/>
    <x v="1"/>
    <x v="1"/>
    <s v="Electronics"/>
    <x v="2"/>
    <x v="1"/>
    <s v="Offline"/>
    <x v="143"/>
    <n v="3"/>
    <x v="0"/>
    <x v="143"/>
    <n v="2025"/>
    <n v="2"/>
  </r>
  <r>
    <n v="1145"/>
    <d v="2025-01-04T00:00:00"/>
    <x v="2"/>
    <x v="8"/>
    <s v="Electronics"/>
    <x v="0"/>
    <x v="3"/>
    <s v="Online"/>
    <x v="144"/>
    <n v="3"/>
    <x v="0"/>
    <x v="144"/>
    <n v="2025"/>
    <n v="1"/>
  </r>
  <r>
    <n v="1146"/>
    <d v="2025-02-28T00:00:00"/>
    <x v="3"/>
    <x v="7"/>
    <s v="Electronics"/>
    <x v="2"/>
    <x v="2"/>
    <s v="Offline"/>
    <x v="145"/>
    <n v="2"/>
    <x v="2"/>
    <x v="145"/>
    <n v="2025"/>
    <n v="2"/>
  </r>
  <r>
    <n v="1147"/>
    <d v="2025-01-26T00:00:00"/>
    <x v="2"/>
    <x v="8"/>
    <s v="Electronics"/>
    <x v="2"/>
    <x v="1"/>
    <s v="Online"/>
    <x v="57"/>
    <n v="1"/>
    <x v="2"/>
    <x v="146"/>
    <n v="2025"/>
    <n v="1"/>
  </r>
  <r>
    <n v="1148"/>
    <d v="2025-02-16T00:00:00"/>
    <x v="2"/>
    <x v="8"/>
    <s v="Electronics"/>
    <x v="2"/>
    <x v="2"/>
    <s v="Offline"/>
    <x v="146"/>
    <n v="3"/>
    <x v="3"/>
    <x v="147"/>
    <n v="2025"/>
    <n v="2"/>
  </r>
  <r>
    <n v="1149"/>
    <d v="2025-01-24T00:00:00"/>
    <x v="0"/>
    <x v="2"/>
    <s v="Electronics"/>
    <x v="2"/>
    <x v="0"/>
    <s v="Online"/>
    <x v="147"/>
    <n v="1"/>
    <x v="2"/>
    <x v="148"/>
    <n v="2025"/>
    <n v="1"/>
  </r>
  <r>
    <n v="1150"/>
    <d v="2025-02-18T00:00:00"/>
    <x v="1"/>
    <x v="1"/>
    <s v="Electronics"/>
    <x v="0"/>
    <x v="3"/>
    <s v="Online"/>
    <x v="148"/>
    <n v="2"/>
    <x v="1"/>
    <x v="149"/>
    <n v="2025"/>
    <n v="2"/>
  </r>
  <r>
    <n v="1151"/>
    <d v="2025-02-11T00:00:00"/>
    <x v="2"/>
    <x v="5"/>
    <s v="Electronics"/>
    <x v="0"/>
    <x v="0"/>
    <s v="Online"/>
    <x v="149"/>
    <n v="3"/>
    <x v="3"/>
    <x v="150"/>
    <n v="2025"/>
    <n v="2"/>
  </r>
  <r>
    <n v="1152"/>
    <d v="2025-01-21T00:00:00"/>
    <x v="1"/>
    <x v="3"/>
    <s v="Electronics"/>
    <x v="1"/>
    <x v="3"/>
    <s v="Online"/>
    <x v="150"/>
    <n v="3"/>
    <x v="0"/>
    <x v="151"/>
    <n v="2025"/>
    <n v="1"/>
  </r>
  <r>
    <n v="1153"/>
    <d v="2025-02-25T00:00:00"/>
    <x v="0"/>
    <x v="0"/>
    <s v="Electronics"/>
    <x v="1"/>
    <x v="0"/>
    <s v="Offline"/>
    <x v="151"/>
    <n v="3"/>
    <x v="0"/>
    <x v="152"/>
    <n v="2025"/>
    <n v="2"/>
  </r>
  <r>
    <n v="1154"/>
    <d v="2025-01-15T00:00:00"/>
    <x v="1"/>
    <x v="1"/>
    <s v="Electronics"/>
    <x v="1"/>
    <x v="2"/>
    <s v="Offline"/>
    <x v="152"/>
    <n v="3"/>
    <x v="0"/>
    <x v="153"/>
    <n v="2025"/>
    <n v="1"/>
  </r>
  <r>
    <n v="1155"/>
    <d v="2025-01-25T00:00:00"/>
    <x v="1"/>
    <x v="3"/>
    <s v="Electronics"/>
    <x v="1"/>
    <x v="2"/>
    <s v="Offline"/>
    <x v="153"/>
    <n v="2"/>
    <x v="1"/>
    <x v="154"/>
    <n v="2025"/>
    <n v="1"/>
  </r>
  <r>
    <n v="1156"/>
    <d v="2025-01-07T00:00:00"/>
    <x v="1"/>
    <x v="1"/>
    <s v="Electronics"/>
    <x v="0"/>
    <x v="0"/>
    <s v="Offline"/>
    <x v="154"/>
    <n v="1"/>
    <x v="2"/>
    <x v="155"/>
    <n v="2025"/>
    <n v="1"/>
  </r>
  <r>
    <n v="1157"/>
    <d v="2025-02-19T00:00:00"/>
    <x v="1"/>
    <x v="1"/>
    <s v="Electronics"/>
    <x v="1"/>
    <x v="1"/>
    <s v="Online"/>
    <x v="155"/>
    <n v="3"/>
    <x v="3"/>
    <x v="156"/>
    <n v="2025"/>
    <n v="2"/>
  </r>
  <r>
    <n v="1158"/>
    <d v="2025-02-19T00:00:00"/>
    <x v="2"/>
    <x v="4"/>
    <s v="Electronics"/>
    <x v="1"/>
    <x v="0"/>
    <s v="Offline"/>
    <x v="156"/>
    <n v="3"/>
    <x v="2"/>
    <x v="157"/>
    <n v="2025"/>
    <n v="2"/>
  </r>
  <r>
    <n v="1159"/>
    <d v="2025-01-27T00:00:00"/>
    <x v="0"/>
    <x v="2"/>
    <s v="Electronics"/>
    <x v="2"/>
    <x v="0"/>
    <s v="Online"/>
    <x v="157"/>
    <n v="3"/>
    <x v="2"/>
    <x v="158"/>
    <n v="2025"/>
    <n v="1"/>
  </r>
  <r>
    <n v="1160"/>
    <d v="2025-02-20T00:00:00"/>
    <x v="2"/>
    <x v="8"/>
    <s v="Electronics"/>
    <x v="0"/>
    <x v="2"/>
    <s v="Offline"/>
    <x v="158"/>
    <n v="1"/>
    <x v="1"/>
    <x v="159"/>
    <n v="2025"/>
    <n v="2"/>
  </r>
  <r>
    <n v="1161"/>
    <d v="2025-01-07T00:00:00"/>
    <x v="3"/>
    <x v="6"/>
    <s v="Electronics"/>
    <x v="1"/>
    <x v="1"/>
    <s v="Online"/>
    <x v="159"/>
    <n v="2"/>
    <x v="0"/>
    <x v="160"/>
    <n v="2025"/>
    <n v="1"/>
  </r>
  <r>
    <n v="1162"/>
    <d v="2025-01-14T00:00:00"/>
    <x v="3"/>
    <x v="6"/>
    <s v="Electronics"/>
    <x v="0"/>
    <x v="0"/>
    <s v="Online"/>
    <x v="160"/>
    <n v="2"/>
    <x v="0"/>
    <x v="161"/>
    <n v="2025"/>
    <n v="1"/>
  </r>
  <r>
    <n v="1163"/>
    <d v="2025-02-12T00:00:00"/>
    <x v="0"/>
    <x v="2"/>
    <s v="Electronics"/>
    <x v="1"/>
    <x v="2"/>
    <s v="Offline"/>
    <x v="161"/>
    <n v="3"/>
    <x v="3"/>
    <x v="162"/>
    <n v="2025"/>
    <n v="2"/>
  </r>
  <r>
    <n v="1164"/>
    <d v="2025-02-17T00:00:00"/>
    <x v="2"/>
    <x v="4"/>
    <s v="Electronics"/>
    <x v="2"/>
    <x v="2"/>
    <s v="Offline"/>
    <x v="162"/>
    <n v="3"/>
    <x v="2"/>
    <x v="163"/>
    <n v="2025"/>
    <n v="2"/>
  </r>
  <r>
    <n v="1165"/>
    <d v="2025-02-21T00:00:00"/>
    <x v="1"/>
    <x v="1"/>
    <s v="Electronics"/>
    <x v="0"/>
    <x v="2"/>
    <s v="Online"/>
    <x v="163"/>
    <n v="2"/>
    <x v="0"/>
    <x v="164"/>
    <n v="2025"/>
    <n v="2"/>
  </r>
  <r>
    <n v="1166"/>
    <d v="2025-01-22T00:00:00"/>
    <x v="3"/>
    <x v="7"/>
    <s v="Electronics"/>
    <x v="1"/>
    <x v="3"/>
    <s v="Offline"/>
    <x v="164"/>
    <n v="2"/>
    <x v="3"/>
    <x v="165"/>
    <n v="2025"/>
    <n v="1"/>
  </r>
  <r>
    <n v="1167"/>
    <d v="2025-02-01T00:00:00"/>
    <x v="3"/>
    <x v="6"/>
    <s v="Electronics"/>
    <x v="1"/>
    <x v="1"/>
    <s v="Offline"/>
    <x v="165"/>
    <n v="1"/>
    <x v="3"/>
    <x v="166"/>
    <n v="2025"/>
    <n v="2"/>
  </r>
  <r>
    <n v="1168"/>
    <d v="2025-01-01T00:00:00"/>
    <x v="1"/>
    <x v="1"/>
    <s v="Electronics"/>
    <x v="1"/>
    <x v="1"/>
    <s v="Offline"/>
    <x v="166"/>
    <n v="2"/>
    <x v="1"/>
    <x v="167"/>
    <n v="2025"/>
    <n v="1"/>
  </r>
  <r>
    <n v="1169"/>
    <d v="2025-02-14T00:00:00"/>
    <x v="2"/>
    <x v="8"/>
    <s v="Electronics"/>
    <x v="1"/>
    <x v="2"/>
    <s v="Online"/>
    <x v="167"/>
    <n v="3"/>
    <x v="2"/>
    <x v="168"/>
    <n v="2025"/>
    <n v="2"/>
  </r>
  <r>
    <n v="1170"/>
    <d v="2025-01-14T00:00:00"/>
    <x v="3"/>
    <x v="6"/>
    <s v="Electronics"/>
    <x v="0"/>
    <x v="3"/>
    <s v="Offline"/>
    <x v="168"/>
    <n v="3"/>
    <x v="0"/>
    <x v="169"/>
    <n v="2025"/>
    <n v="1"/>
  </r>
  <r>
    <n v="1171"/>
    <d v="2025-01-20T00:00:00"/>
    <x v="3"/>
    <x v="7"/>
    <s v="Electronics"/>
    <x v="1"/>
    <x v="2"/>
    <s v="Offline"/>
    <x v="169"/>
    <n v="3"/>
    <x v="0"/>
    <x v="170"/>
    <n v="2025"/>
    <n v="1"/>
  </r>
  <r>
    <n v="1172"/>
    <d v="2025-01-20T00:00:00"/>
    <x v="0"/>
    <x v="2"/>
    <s v="Electronics"/>
    <x v="0"/>
    <x v="2"/>
    <s v="Offline"/>
    <x v="170"/>
    <n v="3"/>
    <x v="0"/>
    <x v="171"/>
    <n v="2025"/>
    <n v="1"/>
  </r>
  <r>
    <n v="1173"/>
    <d v="2025-02-16T00:00:00"/>
    <x v="3"/>
    <x v="6"/>
    <s v="Electronics"/>
    <x v="1"/>
    <x v="3"/>
    <s v="Offline"/>
    <x v="171"/>
    <n v="3"/>
    <x v="2"/>
    <x v="172"/>
    <n v="2025"/>
    <n v="2"/>
  </r>
  <r>
    <n v="1174"/>
    <d v="2025-01-07T00:00:00"/>
    <x v="1"/>
    <x v="3"/>
    <s v="Electronics"/>
    <x v="0"/>
    <x v="0"/>
    <s v="Offline"/>
    <x v="172"/>
    <n v="2"/>
    <x v="1"/>
    <x v="173"/>
    <n v="2025"/>
    <n v="1"/>
  </r>
  <r>
    <n v="1175"/>
    <d v="2025-01-26T00:00:00"/>
    <x v="2"/>
    <x v="4"/>
    <s v="Electronics"/>
    <x v="1"/>
    <x v="1"/>
    <s v="Offline"/>
    <x v="173"/>
    <n v="2"/>
    <x v="3"/>
    <x v="174"/>
    <n v="2025"/>
    <n v="1"/>
  </r>
  <r>
    <n v="1176"/>
    <d v="2025-01-21T00:00:00"/>
    <x v="0"/>
    <x v="2"/>
    <s v="Electronics"/>
    <x v="0"/>
    <x v="2"/>
    <s v="Online"/>
    <x v="174"/>
    <n v="2"/>
    <x v="1"/>
    <x v="175"/>
    <n v="2025"/>
    <n v="1"/>
  </r>
  <r>
    <n v="1177"/>
    <d v="2025-03-01T00:00:00"/>
    <x v="1"/>
    <x v="3"/>
    <s v="Electronics"/>
    <x v="0"/>
    <x v="1"/>
    <s v="Online"/>
    <x v="175"/>
    <n v="2"/>
    <x v="2"/>
    <x v="176"/>
    <n v="2025"/>
    <n v="3"/>
  </r>
  <r>
    <n v="1178"/>
    <d v="2025-02-14T00:00:00"/>
    <x v="1"/>
    <x v="3"/>
    <s v="Electronics"/>
    <x v="0"/>
    <x v="3"/>
    <s v="Online"/>
    <x v="176"/>
    <n v="3"/>
    <x v="2"/>
    <x v="177"/>
    <n v="2025"/>
    <n v="2"/>
  </r>
  <r>
    <n v="1179"/>
    <d v="2025-03-02T00:00:00"/>
    <x v="1"/>
    <x v="3"/>
    <s v="Electronics"/>
    <x v="0"/>
    <x v="3"/>
    <s v="Online"/>
    <x v="177"/>
    <n v="1"/>
    <x v="2"/>
    <x v="178"/>
    <n v="2025"/>
    <n v="3"/>
  </r>
  <r>
    <n v="1180"/>
    <d v="2025-02-08T00:00:00"/>
    <x v="1"/>
    <x v="1"/>
    <s v="Electronics"/>
    <x v="1"/>
    <x v="2"/>
    <s v="Online"/>
    <x v="178"/>
    <n v="2"/>
    <x v="2"/>
    <x v="179"/>
    <n v="2025"/>
    <n v="2"/>
  </r>
  <r>
    <n v="1181"/>
    <d v="2025-02-05T00:00:00"/>
    <x v="3"/>
    <x v="7"/>
    <s v="Electronics"/>
    <x v="1"/>
    <x v="3"/>
    <s v="Online"/>
    <x v="179"/>
    <n v="3"/>
    <x v="3"/>
    <x v="180"/>
    <n v="2025"/>
    <n v="2"/>
  </r>
  <r>
    <n v="1182"/>
    <d v="2025-02-11T00:00:00"/>
    <x v="1"/>
    <x v="1"/>
    <s v="Electronics"/>
    <x v="0"/>
    <x v="3"/>
    <s v="Offline"/>
    <x v="180"/>
    <n v="2"/>
    <x v="1"/>
    <x v="181"/>
    <n v="2025"/>
    <n v="2"/>
  </r>
  <r>
    <n v="1183"/>
    <d v="2025-01-31T00:00:00"/>
    <x v="2"/>
    <x v="8"/>
    <s v="Electronics"/>
    <x v="0"/>
    <x v="0"/>
    <s v="Offline"/>
    <x v="181"/>
    <n v="3"/>
    <x v="3"/>
    <x v="182"/>
    <n v="2025"/>
    <n v="1"/>
  </r>
  <r>
    <n v="1184"/>
    <d v="2025-03-02T00:00:00"/>
    <x v="3"/>
    <x v="7"/>
    <s v="Electronics"/>
    <x v="0"/>
    <x v="3"/>
    <s v="Offline"/>
    <x v="182"/>
    <n v="1"/>
    <x v="1"/>
    <x v="183"/>
    <n v="2025"/>
    <n v="3"/>
  </r>
  <r>
    <n v="1185"/>
    <d v="2025-01-01T00:00:00"/>
    <x v="3"/>
    <x v="7"/>
    <s v="Electronics"/>
    <x v="0"/>
    <x v="0"/>
    <s v="Offline"/>
    <x v="183"/>
    <n v="2"/>
    <x v="0"/>
    <x v="184"/>
    <n v="2025"/>
    <n v="1"/>
  </r>
  <r>
    <n v="1186"/>
    <d v="2025-02-15T00:00:00"/>
    <x v="1"/>
    <x v="1"/>
    <s v="Electronics"/>
    <x v="0"/>
    <x v="0"/>
    <s v="Online"/>
    <x v="184"/>
    <n v="1"/>
    <x v="3"/>
    <x v="185"/>
    <n v="2025"/>
    <n v="2"/>
  </r>
  <r>
    <n v="1187"/>
    <d v="2025-01-22T00:00:00"/>
    <x v="1"/>
    <x v="1"/>
    <s v="Electronics"/>
    <x v="2"/>
    <x v="2"/>
    <s v="Offline"/>
    <x v="185"/>
    <n v="1"/>
    <x v="0"/>
    <x v="186"/>
    <n v="2025"/>
    <n v="1"/>
  </r>
  <r>
    <n v="1188"/>
    <d v="2025-02-04T00:00:00"/>
    <x v="0"/>
    <x v="0"/>
    <s v="Electronics"/>
    <x v="2"/>
    <x v="2"/>
    <s v="Online"/>
    <x v="186"/>
    <n v="2"/>
    <x v="2"/>
    <x v="187"/>
    <n v="2025"/>
    <n v="2"/>
  </r>
  <r>
    <n v="1189"/>
    <d v="2025-01-14T00:00:00"/>
    <x v="0"/>
    <x v="0"/>
    <s v="Electronics"/>
    <x v="2"/>
    <x v="3"/>
    <s v="Offline"/>
    <x v="187"/>
    <n v="1"/>
    <x v="2"/>
    <x v="188"/>
    <n v="2025"/>
    <n v="1"/>
  </r>
  <r>
    <n v="1190"/>
    <d v="2025-02-09T00:00:00"/>
    <x v="3"/>
    <x v="6"/>
    <s v="Electronics"/>
    <x v="2"/>
    <x v="2"/>
    <s v="Online"/>
    <x v="188"/>
    <n v="2"/>
    <x v="0"/>
    <x v="189"/>
    <n v="2025"/>
    <n v="2"/>
  </r>
  <r>
    <n v="1191"/>
    <d v="2025-02-28T00:00:00"/>
    <x v="1"/>
    <x v="1"/>
    <s v="Electronics"/>
    <x v="1"/>
    <x v="1"/>
    <s v="Offline"/>
    <x v="189"/>
    <n v="1"/>
    <x v="1"/>
    <x v="190"/>
    <n v="2025"/>
    <n v="2"/>
  </r>
  <r>
    <n v="1192"/>
    <d v="2025-02-03T00:00:00"/>
    <x v="2"/>
    <x v="4"/>
    <s v="Electronics"/>
    <x v="0"/>
    <x v="3"/>
    <s v="Online"/>
    <x v="190"/>
    <n v="2"/>
    <x v="0"/>
    <x v="191"/>
    <n v="2025"/>
    <n v="2"/>
  </r>
  <r>
    <n v="1193"/>
    <d v="2025-01-07T00:00:00"/>
    <x v="2"/>
    <x v="4"/>
    <s v="Electronics"/>
    <x v="1"/>
    <x v="1"/>
    <s v="Offline"/>
    <x v="191"/>
    <n v="2"/>
    <x v="3"/>
    <x v="192"/>
    <n v="2025"/>
    <n v="1"/>
  </r>
  <r>
    <n v="1194"/>
    <d v="2025-02-23T00:00:00"/>
    <x v="1"/>
    <x v="3"/>
    <s v="Electronics"/>
    <x v="1"/>
    <x v="0"/>
    <s v="Online"/>
    <x v="192"/>
    <n v="2"/>
    <x v="1"/>
    <x v="193"/>
    <n v="2025"/>
    <n v="2"/>
  </r>
  <r>
    <n v="1195"/>
    <d v="2025-01-08T00:00:00"/>
    <x v="1"/>
    <x v="1"/>
    <s v="Electronics"/>
    <x v="1"/>
    <x v="2"/>
    <s v="Offline"/>
    <x v="193"/>
    <n v="2"/>
    <x v="1"/>
    <x v="194"/>
    <n v="2025"/>
    <n v="1"/>
  </r>
  <r>
    <n v="1001"/>
    <d v="2025-02-07T00:00:00"/>
    <x v="0"/>
    <x v="0"/>
    <s v="Electronics"/>
    <x v="0"/>
    <x v="0"/>
    <s v="Online"/>
    <x v="0"/>
    <n v="2"/>
    <x v="0"/>
    <x v="0"/>
    <n v="2025"/>
    <n v="2"/>
  </r>
  <r>
    <n v="1002"/>
    <d v="2025-02-25T00:00:00"/>
    <x v="0"/>
    <x v="0"/>
    <s v="Electronics"/>
    <x v="1"/>
    <x v="1"/>
    <s v="Online"/>
    <x v="1"/>
    <n v="3"/>
    <x v="1"/>
    <x v="1"/>
    <n v="2025"/>
    <n v="2"/>
  </r>
  <r>
    <n v="1003"/>
    <d v="2025-02-15T00:00:00"/>
    <x v="0"/>
    <x v="0"/>
    <s v="Electronics"/>
    <x v="1"/>
    <x v="2"/>
    <s v="Offline"/>
    <x v="2"/>
    <n v="3"/>
    <x v="2"/>
    <x v="2"/>
    <n v="2025"/>
    <n v="2"/>
  </r>
  <r>
    <n v="1004"/>
    <d v="2025-01-18T00:00:00"/>
    <x v="1"/>
    <x v="1"/>
    <s v="Electronics"/>
    <x v="1"/>
    <x v="1"/>
    <s v="Offline"/>
    <x v="3"/>
    <n v="1"/>
    <x v="1"/>
    <x v="3"/>
    <n v="2025"/>
    <n v="1"/>
  </r>
  <r>
    <n v="1005"/>
    <d v="2025-01-02T00:00:00"/>
    <x v="0"/>
    <x v="2"/>
    <s v="Electronics"/>
    <x v="2"/>
    <x v="2"/>
    <s v="Offline"/>
    <x v="4"/>
    <n v="3"/>
    <x v="0"/>
    <x v="4"/>
    <n v="2025"/>
    <n v="1"/>
  </r>
</pivotCacheRecords>
</file>

<file path=xl/pivotCache/pivotCacheRecords2.xml><?xml version="1.0" encoding="utf-8"?>
<pivotCacheRecords xmlns="http://schemas.openxmlformats.org/spreadsheetml/2006/main" xmlns:r="http://schemas.openxmlformats.org/officeDocument/2006/relationships" count="201">
  <r>
    <n v="1001"/>
    <d v="2025-02-07T00:00:00"/>
    <s v="East"/>
    <s v="Patna"/>
    <s v="Electronics"/>
    <s v="Tablet"/>
    <s v="Neha"/>
    <s v="Online"/>
    <n v="19827"/>
    <x v="0"/>
    <n v="15"/>
    <n v="33705"/>
    <n v="2025"/>
    <n v="2"/>
  </r>
  <r>
    <n v="1002"/>
    <d v="2025-02-25T00:00:00"/>
    <s v="East"/>
    <s v="Patna"/>
    <s v="Electronics"/>
    <s v="Laptop"/>
    <s v="Amit"/>
    <s v="Online"/>
    <n v="60112"/>
    <x v="1"/>
    <n v="0"/>
    <n v="180336"/>
    <n v="2025"/>
    <n v="2"/>
  </r>
  <r>
    <n v="1003"/>
    <d v="2025-02-15T00:00:00"/>
    <s v="East"/>
    <s v="Patna"/>
    <s v="Electronics"/>
    <s v="Laptop"/>
    <s v="Priya"/>
    <s v="Offline"/>
    <n v="60873"/>
    <x v="1"/>
    <n v="10"/>
    <n v="164357"/>
    <n v="2025"/>
    <n v="2"/>
  </r>
  <r>
    <n v="1004"/>
    <d v="2025-01-18T00:00:00"/>
    <s v="West"/>
    <s v="Pune"/>
    <s v="Electronics"/>
    <s v="Laptop"/>
    <s v="Amit"/>
    <s v="Offline"/>
    <n v="60285"/>
    <x v="2"/>
    <n v="0"/>
    <n v="60285"/>
    <n v="2025"/>
    <n v="1"/>
  </r>
  <r>
    <n v="1005"/>
    <d v="2025-01-02T00:00:00"/>
    <s v="East"/>
    <s v="Kolkata"/>
    <s v="Electronics"/>
    <s v="Mobile"/>
    <s v="Priya"/>
    <s v="Offline"/>
    <n v="27642"/>
    <x v="1"/>
    <n v="15"/>
    <n v="70487"/>
    <n v="2025"/>
    <n v="1"/>
  </r>
  <r>
    <n v="1006"/>
    <d v="2025-01-28T00:00:00"/>
    <s v="East"/>
    <s v="Kolkata"/>
    <s v="Electronics"/>
    <s v="Tablet"/>
    <s v="Priya"/>
    <s v="Online"/>
    <n v="19663"/>
    <x v="2"/>
    <n v="5"/>
    <n v="18679"/>
    <n v="2025"/>
    <n v="1"/>
  </r>
  <r>
    <n v="1007"/>
    <d v="2025-02-18T00:00:00"/>
    <s v="East"/>
    <s v="Kolkata"/>
    <s v="Electronics"/>
    <s v="Laptop"/>
    <s v="Priya"/>
    <s v="Online"/>
    <n v="60887"/>
    <x v="1"/>
    <n v="10"/>
    <n v="164394"/>
    <n v="2025"/>
    <n v="2"/>
  </r>
  <r>
    <n v="1008"/>
    <d v="2025-02-02T00:00:00"/>
    <s v="East"/>
    <s v="Kolkata"/>
    <s v="Electronics"/>
    <s v="Laptop"/>
    <s v="Rahul"/>
    <s v="Offline"/>
    <n v="64007"/>
    <x v="0"/>
    <n v="0"/>
    <n v="128014"/>
    <n v="2025"/>
    <n v="2"/>
  </r>
  <r>
    <n v="1009"/>
    <d v="2025-02-01T00:00:00"/>
    <s v="West"/>
    <s v="Mumbai"/>
    <s v="Electronics"/>
    <s v="Laptop"/>
    <s v="Neha"/>
    <s v="Online"/>
    <n v="60505"/>
    <x v="0"/>
    <n v="10"/>
    <n v="108909"/>
    <n v="2025"/>
    <n v="2"/>
  </r>
  <r>
    <n v="1010"/>
    <d v="2025-02-26T00:00:00"/>
    <s v="South"/>
    <s v="Bangalore"/>
    <s v="Electronics"/>
    <s v="Mobile"/>
    <s v="Amit"/>
    <s v="Online"/>
    <n v="26085"/>
    <x v="0"/>
    <n v="15"/>
    <n v="44344"/>
    <n v="2025"/>
    <n v="2"/>
  </r>
  <r>
    <n v="1011"/>
    <d v="2025-02-26T00:00:00"/>
    <s v="West"/>
    <s v="Mumbai"/>
    <s v="Electronics"/>
    <s v="Mobile"/>
    <s v="Rahul"/>
    <s v="Offline"/>
    <n v="28575"/>
    <x v="0"/>
    <n v="0"/>
    <n v="57150"/>
    <n v="2025"/>
    <n v="2"/>
  </r>
  <r>
    <n v="1012"/>
    <d v="2025-02-15T00:00:00"/>
    <s v="South"/>
    <s v="Chennai"/>
    <s v="Electronics"/>
    <s v="Tablet"/>
    <s v="Amit"/>
    <s v="Online"/>
    <n v="19693"/>
    <x v="2"/>
    <n v="5"/>
    <n v="18708"/>
    <n v="2025"/>
    <n v="2"/>
  </r>
  <r>
    <n v="1013"/>
    <d v="2025-02-26T00:00:00"/>
    <s v="West"/>
    <s v="Mumbai"/>
    <s v="Electronics"/>
    <s v="Tablet"/>
    <s v="Priya"/>
    <s v="Offline"/>
    <n v="24508"/>
    <x v="1"/>
    <n v="5"/>
    <n v="69847"/>
    <n v="2025"/>
    <n v="2"/>
  </r>
  <r>
    <n v="1014"/>
    <d v="2025-02-26T00:00:00"/>
    <s v="East"/>
    <s v="Patna"/>
    <s v="Electronics"/>
    <s v="Mobile"/>
    <s v="Rahul"/>
    <s v="Offline"/>
    <n v="21374"/>
    <x v="2"/>
    <n v="0"/>
    <n v="21374"/>
    <n v="2025"/>
    <n v="2"/>
  </r>
  <r>
    <n v="1015"/>
    <d v="2025-03-02T00:00:00"/>
    <s v="North"/>
    <s v="Jaipur"/>
    <s v="Electronics"/>
    <s v="Mobile"/>
    <s v="Rahul"/>
    <s v="Offline"/>
    <n v="26501"/>
    <x v="2"/>
    <n v="15"/>
    <n v="22525"/>
    <n v="2025"/>
    <n v="3"/>
  </r>
  <r>
    <n v="1016"/>
    <d v="2025-01-07T00:00:00"/>
    <s v="West"/>
    <s v="Pune"/>
    <s v="Electronics"/>
    <s v="Mobile"/>
    <s v="Amit"/>
    <s v="Online"/>
    <n v="24198"/>
    <x v="1"/>
    <n v="15"/>
    <n v="61704"/>
    <n v="2025"/>
    <n v="1"/>
  </r>
  <r>
    <n v="1017"/>
    <d v="2025-01-02T00:00:00"/>
    <s v="West"/>
    <s v="Mumbai"/>
    <s v="Electronics"/>
    <s v="Laptop"/>
    <s v="Rahul"/>
    <s v="Online"/>
    <n v="56757"/>
    <x v="0"/>
    <n v="0"/>
    <n v="113514"/>
    <n v="2025"/>
    <n v="1"/>
  </r>
  <r>
    <n v="1018"/>
    <d v="2025-01-06T00:00:00"/>
    <s v="North"/>
    <s v="Delhi"/>
    <s v="Electronics"/>
    <s v="Mobile"/>
    <s v="Priya"/>
    <s v="Offline"/>
    <n v="26129"/>
    <x v="1"/>
    <n v="15"/>
    <n v="66628"/>
    <n v="2025"/>
    <n v="1"/>
  </r>
  <r>
    <n v="1019"/>
    <d v="2025-01-11T00:00:00"/>
    <s v="West"/>
    <s v="Mumbai"/>
    <s v="Electronics"/>
    <s v="Laptop"/>
    <s v="Neha"/>
    <s v="Online"/>
    <n v="63513"/>
    <x v="1"/>
    <n v="15"/>
    <n v="161958"/>
    <n v="2025"/>
    <n v="1"/>
  </r>
  <r>
    <n v="1020"/>
    <d v="2025-02-16T00:00:00"/>
    <s v="West"/>
    <s v="Pune"/>
    <s v="Electronics"/>
    <s v="Tablet"/>
    <s v="Neha"/>
    <s v="Online"/>
    <n v="19704"/>
    <x v="0"/>
    <n v="5"/>
    <n v="37437"/>
    <n v="2025"/>
    <n v="2"/>
  </r>
  <r>
    <n v="1021"/>
    <d v="2025-02-11T00:00:00"/>
    <s v="West"/>
    <s v="Pune"/>
    <s v="Electronics"/>
    <s v="Laptop"/>
    <s v="Amit"/>
    <s v="Offline"/>
    <n v="62149"/>
    <x v="0"/>
    <n v="5"/>
    <n v="118083"/>
    <n v="2025"/>
    <n v="2"/>
  </r>
  <r>
    <n v="1022"/>
    <d v="2025-01-11T00:00:00"/>
    <s v="North"/>
    <s v="Jaipur"/>
    <s v="Electronics"/>
    <s v="Tablet"/>
    <s v="Rahul"/>
    <s v="Offline"/>
    <n v="19243"/>
    <x v="1"/>
    <n v="10"/>
    <n v="51956"/>
    <n v="2025"/>
    <n v="1"/>
  </r>
  <r>
    <n v="1023"/>
    <d v="2025-02-01T00:00:00"/>
    <s v="North"/>
    <s v="Delhi"/>
    <s v="Electronics"/>
    <s v="Laptop"/>
    <s v="Neha"/>
    <s v="Online"/>
    <n v="57407"/>
    <x v="0"/>
    <n v="0"/>
    <n v="114814"/>
    <n v="2025"/>
    <n v="2"/>
  </r>
  <r>
    <n v="1024"/>
    <d v="2025-01-31T00:00:00"/>
    <s v="East"/>
    <s v="Kolkata"/>
    <s v="Electronics"/>
    <s v="Mobile"/>
    <s v="Amit"/>
    <s v="Offline"/>
    <n v="29198"/>
    <x v="0"/>
    <n v="5"/>
    <n v="55476"/>
    <n v="2025"/>
    <n v="1"/>
  </r>
  <r>
    <n v="1025"/>
    <d v="2025-01-08T00:00:00"/>
    <s v="North"/>
    <s v="Delhi"/>
    <s v="Electronics"/>
    <s v="Mobile"/>
    <s v="Priya"/>
    <s v="Online"/>
    <n v="27523"/>
    <x v="1"/>
    <n v="0"/>
    <n v="82569"/>
    <n v="2025"/>
    <n v="1"/>
  </r>
  <r>
    <n v="1026"/>
    <d v="2025-02-20T00:00:00"/>
    <s v="South"/>
    <s v="Hyderabad"/>
    <s v="Electronics"/>
    <s v="Laptop"/>
    <s v="Amit"/>
    <s v="Offline"/>
    <n v="62550"/>
    <x v="1"/>
    <n v="0"/>
    <n v="187650"/>
    <n v="2025"/>
    <n v="2"/>
  </r>
  <r>
    <n v="1027"/>
    <d v="2025-02-28T00:00:00"/>
    <s v="East"/>
    <s v="Patna"/>
    <s v="Electronics"/>
    <s v="Mobile"/>
    <s v="Rahul"/>
    <s v="Offline"/>
    <n v="21767"/>
    <x v="0"/>
    <n v="5"/>
    <n v="41357"/>
    <n v="2025"/>
    <n v="2"/>
  </r>
  <r>
    <n v="1028"/>
    <d v="2025-02-15T00:00:00"/>
    <s v="West"/>
    <s v="Mumbai"/>
    <s v="Electronics"/>
    <s v="Mobile"/>
    <s v="Neha"/>
    <s v="Offline"/>
    <n v="21904"/>
    <x v="2"/>
    <n v="15"/>
    <n v="18618"/>
    <n v="2025"/>
    <n v="2"/>
  </r>
  <r>
    <n v="1029"/>
    <d v="2025-02-21T00:00:00"/>
    <s v="East"/>
    <s v="Patna"/>
    <s v="Electronics"/>
    <s v="Tablet"/>
    <s v="Amit"/>
    <s v="Offline"/>
    <n v="20809"/>
    <x v="1"/>
    <n v="0"/>
    <n v="62427"/>
    <n v="2025"/>
    <n v="2"/>
  </r>
  <r>
    <n v="1030"/>
    <d v="2025-02-27T00:00:00"/>
    <s v="South"/>
    <s v="Hyderabad"/>
    <s v="Electronics"/>
    <s v="Mobile"/>
    <s v="Priya"/>
    <s v="Offline"/>
    <n v="20851"/>
    <x v="0"/>
    <n v="5"/>
    <n v="39616"/>
    <n v="2025"/>
    <n v="2"/>
  </r>
  <r>
    <n v="1031"/>
    <d v="2025-01-07T00:00:00"/>
    <s v="South"/>
    <s v="Hyderabad"/>
    <s v="Electronics"/>
    <s v="Tablet"/>
    <s v="Rahul"/>
    <s v="Offline"/>
    <n v="22806"/>
    <x v="2"/>
    <n v="10"/>
    <n v="20525"/>
    <n v="2025"/>
    <n v="1"/>
  </r>
  <r>
    <n v="1032"/>
    <d v="2025-01-25T00:00:00"/>
    <s v="South"/>
    <s v="Bangalore"/>
    <s v="Electronics"/>
    <s v="Mobile"/>
    <s v="Neha"/>
    <s v="Offline"/>
    <n v="21036"/>
    <x v="0"/>
    <n v="0"/>
    <n v="42072"/>
    <n v="2025"/>
    <n v="1"/>
  </r>
  <r>
    <n v="1033"/>
    <d v="2025-02-13T00:00:00"/>
    <s v="South"/>
    <s v="Chennai"/>
    <s v="Electronics"/>
    <s v="Mobile"/>
    <s v="Priya"/>
    <s v="Online"/>
    <n v="24683"/>
    <x v="1"/>
    <n v="5"/>
    <n v="70346"/>
    <n v="2025"/>
    <n v="2"/>
  </r>
  <r>
    <n v="1034"/>
    <d v="2025-02-14T00:00:00"/>
    <s v="North"/>
    <s v="Jaipur"/>
    <s v="Electronics"/>
    <s v="Mobile"/>
    <s v="Rahul"/>
    <s v="Offline"/>
    <n v="26599"/>
    <x v="2"/>
    <n v="5"/>
    <n v="25269"/>
    <n v="2025"/>
    <n v="2"/>
  </r>
  <r>
    <n v="1035"/>
    <d v="2025-02-10T00:00:00"/>
    <s v="North"/>
    <s v="Delhi"/>
    <s v="Electronics"/>
    <s v="Mobile"/>
    <s v="Neha"/>
    <s v="Offline"/>
    <n v="27148"/>
    <x v="0"/>
    <n v="0"/>
    <n v="54296"/>
    <n v="2025"/>
    <n v="2"/>
  </r>
  <r>
    <n v="1036"/>
    <d v="2025-01-10T00:00:00"/>
    <s v="South"/>
    <s v="Chennai"/>
    <s v="Electronics"/>
    <s v="Tablet"/>
    <s v="Amit"/>
    <s v="Offline"/>
    <n v="24872"/>
    <x v="2"/>
    <n v="0"/>
    <n v="24872"/>
    <n v="2025"/>
    <n v="1"/>
  </r>
  <r>
    <n v="1037"/>
    <d v="2025-01-13T00:00:00"/>
    <s v="South"/>
    <s v="Hyderabad"/>
    <s v="Electronics"/>
    <s v="Tablet"/>
    <s v="Rahul"/>
    <s v="Offline"/>
    <n v="23732"/>
    <x v="0"/>
    <n v="10"/>
    <n v="42717"/>
    <n v="2025"/>
    <n v="1"/>
  </r>
  <r>
    <n v="1038"/>
    <d v="2025-02-17T00:00:00"/>
    <s v="North"/>
    <s v="Jaipur"/>
    <s v="Electronics"/>
    <s v="Laptop"/>
    <s v="Priya"/>
    <s v="Online"/>
    <n v="58822"/>
    <x v="0"/>
    <n v="0"/>
    <n v="117644"/>
    <n v="2025"/>
    <n v="2"/>
  </r>
  <r>
    <n v="1039"/>
    <d v="2025-01-13T00:00:00"/>
    <s v="North"/>
    <s v="Delhi"/>
    <s v="Electronics"/>
    <s v="Mobile"/>
    <s v="Amit"/>
    <s v="Offline"/>
    <n v="28183"/>
    <x v="1"/>
    <n v="0"/>
    <n v="84549"/>
    <n v="2025"/>
    <n v="1"/>
  </r>
  <r>
    <n v="1040"/>
    <d v="2025-01-10T00:00:00"/>
    <s v="South"/>
    <s v="Chennai"/>
    <s v="Electronics"/>
    <s v="Mobile"/>
    <s v="Rahul"/>
    <s v="Offline"/>
    <n v="25493"/>
    <x v="1"/>
    <n v="0"/>
    <n v="76479"/>
    <n v="2025"/>
    <n v="1"/>
  </r>
  <r>
    <n v="1041"/>
    <d v="2025-01-16T00:00:00"/>
    <s v="South"/>
    <s v="Hyderabad"/>
    <s v="Electronics"/>
    <s v="Mobile"/>
    <s v="Priya"/>
    <s v="Offline"/>
    <n v="20756"/>
    <x v="2"/>
    <n v="10"/>
    <n v="18680"/>
    <n v="2025"/>
    <n v="1"/>
  </r>
  <r>
    <n v="1042"/>
    <d v="2025-02-18T00:00:00"/>
    <s v="South"/>
    <s v="Chennai"/>
    <s v="Electronics"/>
    <s v="Tablet"/>
    <s v="Priya"/>
    <s v="Offline"/>
    <n v="24707"/>
    <x v="1"/>
    <n v="10"/>
    <n v="66708"/>
    <n v="2025"/>
    <n v="2"/>
  </r>
  <r>
    <n v="1043"/>
    <d v="2025-01-01T00:00:00"/>
    <s v="West"/>
    <s v="Pune"/>
    <s v="Electronics"/>
    <s v="Laptop"/>
    <s v="Neha"/>
    <s v="Offline"/>
    <n v="62166"/>
    <x v="2"/>
    <n v="5"/>
    <n v="59057"/>
    <n v="2025"/>
    <n v="1"/>
  </r>
  <r>
    <n v="1044"/>
    <d v="2025-01-26T00:00:00"/>
    <s v="West"/>
    <s v="Mumbai"/>
    <s v="Electronics"/>
    <s v="Tablet"/>
    <s v="Rahul"/>
    <s v="Offline"/>
    <n v="18551"/>
    <x v="2"/>
    <n v="0"/>
    <n v="18551"/>
    <n v="2025"/>
    <n v="1"/>
  </r>
  <r>
    <n v="1045"/>
    <d v="2025-03-01T00:00:00"/>
    <s v="North"/>
    <s v="Jaipur"/>
    <s v="Electronics"/>
    <s v="Mobile"/>
    <s v="Priya"/>
    <s v="Offline"/>
    <n v="29469"/>
    <x v="1"/>
    <n v="5"/>
    <n v="83986"/>
    <n v="2025"/>
    <n v="3"/>
  </r>
  <r>
    <n v="1046"/>
    <d v="2025-01-08T00:00:00"/>
    <s v="West"/>
    <s v="Mumbai"/>
    <s v="Electronics"/>
    <s v="Mobile"/>
    <s v="Priya"/>
    <s v="Online"/>
    <n v="21011"/>
    <x v="2"/>
    <n v="15"/>
    <n v="17859"/>
    <n v="2025"/>
    <n v="1"/>
  </r>
  <r>
    <n v="1047"/>
    <d v="2025-03-01T00:00:00"/>
    <s v="West"/>
    <s v="Pune"/>
    <s v="Electronics"/>
    <s v="Tablet"/>
    <s v="Neha"/>
    <s v="Online"/>
    <n v="22887"/>
    <x v="2"/>
    <n v="15"/>
    <n v="19453"/>
    <n v="2025"/>
    <n v="3"/>
  </r>
  <r>
    <n v="1048"/>
    <d v="2025-01-17T00:00:00"/>
    <s v="North"/>
    <s v="Jaipur"/>
    <s v="Electronics"/>
    <s v="Mobile"/>
    <s v="Rahul"/>
    <s v="Online"/>
    <n v="29951"/>
    <x v="2"/>
    <n v="5"/>
    <n v="28453"/>
    <n v="2025"/>
    <n v="1"/>
  </r>
  <r>
    <n v="1049"/>
    <d v="2025-01-17T00:00:00"/>
    <s v="West"/>
    <s v="Mumbai"/>
    <s v="Electronics"/>
    <s v="Tablet"/>
    <s v="Priya"/>
    <s v="Online"/>
    <n v="23138"/>
    <x v="1"/>
    <n v="15"/>
    <n v="59001"/>
    <n v="2025"/>
    <n v="1"/>
  </r>
  <r>
    <n v="1050"/>
    <d v="2025-01-06T00:00:00"/>
    <s v="West"/>
    <s v="Mumbai"/>
    <s v="Electronics"/>
    <s v="Tablet"/>
    <s v="Rahul"/>
    <s v="Offline"/>
    <n v="19468"/>
    <x v="2"/>
    <n v="10"/>
    <n v="17521"/>
    <n v="2025"/>
    <n v="1"/>
  </r>
  <r>
    <n v="1051"/>
    <d v="2025-02-17T00:00:00"/>
    <s v="East"/>
    <s v="Patna"/>
    <s v="Electronics"/>
    <s v="Tablet"/>
    <s v="Amit"/>
    <s v="Online"/>
    <n v="18981"/>
    <x v="1"/>
    <n v="5"/>
    <n v="54095"/>
    <n v="2025"/>
    <n v="2"/>
  </r>
  <r>
    <n v="1052"/>
    <d v="2025-02-12T00:00:00"/>
    <s v="West"/>
    <s v="Mumbai"/>
    <s v="Electronics"/>
    <s v="Mobile"/>
    <s v="Rahul"/>
    <s v="Online"/>
    <n v="25471"/>
    <x v="2"/>
    <n v="15"/>
    <n v="21650"/>
    <n v="2025"/>
    <n v="2"/>
  </r>
  <r>
    <n v="1053"/>
    <d v="2025-02-04T00:00:00"/>
    <s v="West"/>
    <s v="Pune"/>
    <s v="Electronics"/>
    <s v="Laptop"/>
    <s v="Rahul"/>
    <s v="Offline"/>
    <n v="63814"/>
    <x v="0"/>
    <n v="10"/>
    <n v="114865"/>
    <n v="2025"/>
    <n v="2"/>
  </r>
  <r>
    <n v="1054"/>
    <d v="2025-01-13T00:00:00"/>
    <s v="North"/>
    <s v="Delhi"/>
    <s v="Electronics"/>
    <s v="Tablet"/>
    <s v="Priya"/>
    <s v="Online"/>
    <n v="23838"/>
    <x v="1"/>
    <n v="5"/>
    <n v="67938"/>
    <n v="2025"/>
    <n v="1"/>
  </r>
  <r>
    <n v="1055"/>
    <d v="2025-01-16T00:00:00"/>
    <s v="East"/>
    <s v="Patna"/>
    <s v="Electronics"/>
    <s v="Laptop"/>
    <s v="Priya"/>
    <s v="Offline"/>
    <n v="61841"/>
    <x v="1"/>
    <n v="10"/>
    <n v="166970"/>
    <n v="2025"/>
    <n v="1"/>
  </r>
  <r>
    <n v="1056"/>
    <d v="2025-02-26T00:00:00"/>
    <s v="West"/>
    <s v="Mumbai"/>
    <s v="Electronics"/>
    <s v="Tablet"/>
    <s v="Priya"/>
    <s v="Offline"/>
    <n v="23005"/>
    <x v="2"/>
    <n v="0"/>
    <n v="23005"/>
    <n v="2025"/>
    <n v="2"/>
  </r>
  <r>
    <n v="1057"/>
    <d v="2025-02-25T00:00:00"/>
    <s v="North"/>
    <s v="Jaipur"/>
    <s v="Electronics"/>
    <s v="Tablet"/>
    <s v="Priya"/>
    <s v="Online"/>
    <n v="19780"/>
    <x v="1"/>
    <n v="10"/>
    <n v="53406"/>
    <n v="2025"/>
    <n v="2"/>
  </r>
  <r>
    <n v="1058"/>
    <d v="2025-01-18T00:00:00"/>
    <s v="East"/>
    <s v="Kolkata"/>
    <s v="Electronics"/>
    <s v="Mobile"/>
    <s v="Amit"/>
    <s v="Online"/>
    <n v="28226"/>
    <x v="0"/>
    <n v="10"/>
    <n v="50806"/>
    <n v="2025"/>
    <n v="1"/>
  </r>
  <r>
    <n v="1059"/>
    <d v="2025-01-09T00:00:00"/>
    <s v="South"/>
    <s v="Bangalore"/>
    <s v="Electronics"/>
    <s v="Laptop"/>
    <s v="Priya"/>
    <s v="Offline"/>
    <n v="61722"/>
    <x v="2"/>
    <n v="10"/>
    <n v="55549"/>
    <n v="2025"/>
    <n v="1"/>
  </r>
  <r>
    <n v="1060"/>
    <d v="2025-02-07T00:00:00"/>
    <s v="West"/>
    <s v="Pune"/>
    <s v="Electronics"/>
    <s v="Laptop"/>
    <s v="Amit"/>
    <s v="Online"/>
    <n v="63608"/>
    <x v="2"/>
    <n v="5"/>
    <n v="60427"/>
    <n v="2025"/>
    <n v="2"/>
  </r>
  <r>
    <n v="1061"/>
    <d v="2025-01-13T00:00:00"/>
    <s v="East"/>
    <s v="Patna"/>
    <s v="Electronics"/>
    <s v="Mobile"/>
    <s v="Rahul"/>
    <s v="Offline"/>
    <n v="23820"/>
    <x v="1"/>
    <n v="10"/>
    <n v="64314"/>
    <n v="2025"/>
    <n v="1"/>
  </r>
  <r>
    <n v="1062"/>
    <d v="2025-01-27T00:00:00"/>
    <s v="East"/>
    <s v="Patna"/>
    <s v="Electronics"/>
    <s v="Tablet"/>
    <s v="Rahul"/>
    <s v="Offline"/>
    <n v="21590"/>
    <x v="2"/>
    <n v="0"/>
    <n v="21590"/>
    <n v="2025"/>
    <n v="1"/>
  </r>
  <r>
    <n v="1063"/>
    <d v="2025-02-19T00:00:00"/>
    <s v="North"/>
    <s v="Jaipur"/>
    <s v="Electronics"/>
    <s v="Mobile"/>
    <s v="Neha"/>
    <s v="Online"/>
    <n v="28688"/>
    <x v="0"/>
    <n v="15"/>
    <n v="48769"/>
    <n v="2025"/>
    <n v="2"/>
  </r>
  <r>
    <n v="1064"/>
    <d v="2025-01-15T00:00:00"/>
    <s v="North"/>
    <s v="Delhi"/>
    <s v="Electronics"/>
    <s v="Laptop"/>
    <s v="Amit"/>
    <s v="Online"/>
    <n v="60069"/>
    <x v="0"/>
    <n v="15"/>
    <n v="102117"/>
    <n v="2025"/>
    <n v="1"/>
  </r>
  <r>
    <n v="1065"/>
    <d v="2025-02-13T00:00:00"/>
    <s v="East"/>
    <s v="Kolkata"/>
    <s v="Electronics"/>
    <s v="Laptop"/>
    <s v="Priya"/>
    <s v="Offline"/>
    <n v="55679"/>
    <x v="0"/>
    <n v="0"/>
    <n v="111358"/>
    <n v="2025"/>
    <n v="2"/>
  </r>
  <r>
    <n v="1066"/>
    <d v="2025-01-29T00:00:00"/>
    <s v="North"/>
    <s v="Delhi"/>
    <s v="Electronics"/>
    <s v="Mobile"/>
    <s v="Priya"/>
    <s v="Offline"/>
    <n v="26327"/>
    <x v="2"/>
    <n v="15"/>
    <n v="22377"/>
    <n v="2025"/>
    <n v="1"/>
  </r>
  <r>
    <n v="1067"/>
    <d v="2025-02-01T00:00:00"/>
    <s v="South"/>
    <s v="Chennai"/>
    <s v="Electronics"/>
    <s v="Tablet"/>
    <s v="Neha"/>
    <s v="Offline"/>
    <n v="19292"/>
    <x v="1"/>
    <n v="15"/>
    <n v="49194"/>
    <n v="2025"/>
    <n v="2"/>
  </r>
  <r>
    <n v="1068"/>
    <d v="2025-02-23T00:00:00"/>
    <s v="West"/>
    <s v="Pune"/>
    <s v="Electronics"/>
    <s v="Laptop"/>
    <s v="Neha"/>
    <s v="Online"/>
    <n v="62667"/>
    <x v="1"/>
    <n v="15"/>
    <n v="159800"/>
    <n v="2025"/>
    <n v="2"/>
  </r>
  <r>
    <n v="1069"/>
    <d v="2025-01-01T00:00:00"/>
    <s v="West"/>
    <s v="Pune"/>
    <s v="Electronics"/>
    <s v="Tablet"/>
    <s v="Neha"/>
    <s v="Online"/>
    <n v="18237"/>
    <x v="2"/>
    <n v="5"/>
    <n v="17325"/>
    <n v="2025"/>
    <n v="1"/>
  </r>
  <r>
    <n v="1070"/>
    <d v="2025-01-24T00:00:00"/>
    <s v="West"/>
    <s v="Pune"/>
    <s v="Electronics"/>
    <s v="Mobile"/>
    <s v="Neha"/>
    <s v="Offline"/>
    <n v="24555"/>
    <x v="1"/>
    <n v="5"/>
    <n v="69981"/>
    <n v="2025"/>
    <n v="1"/>
  </r>
  <r>
    <n v="1071"/>
    <d v="2025-01-24T00:00:00"/>
    <s v="West"/>
    <s v="Mumbai"/>
    <s v="Electronics"/>
    <s v="Mobile"/>
    <s v="Priya"/>
    <s v="Offline"/>
    <n v="27211"/>
    <x v="0"/>
    <n v="10"/>
    <n v="48979"/>
    <n v="2025"/>
    <n v="1"/>
  </r>
  <r>
    <n v="1072"/>
    <d v="2025-01-28T00:00:00"/>
    <s v="East"/>
    <s v="Kolkata"/>
    <s v="Electronics"/>
    <s v="Laptop"/>
    <s v="Amit"/>
    <s v="Online"/>
    <n v="63500"/>
    <x v="0"/>
    <n v="15"/>
    <n v="107950"/>
    <n v="2025"/>
    <n v="1"/>
  </r>
  <r>
    <n v="1073"/>
    <d v="2025-02-04T00:00:00"/>
    <s v="North"/>
    <s v="Jaipur"/>
    <s v="Electronics"/>
    <s v="Mobile"/>
    <s v="Neha"/>
    <s v="Offline"/>
    <n v="25334"/>
    <x v="0"/>
    <n v="5"/>
    <n v="48134"/>
    <n v="2025"/>
    <n v="2"/>
  </r>
  <r>
    <n v="1074"/>
    <d v="2025-01-03T00:00:00"/>
    <s v="North"/>
    <s v="Jaipur"/>
    <s v="Electronics"/>
    <s v="Laptop"/>
    <s v="Rahul"/>
    <s v="Offline"/>
    <n v="57000"/>
    <x v="1"/>
    <n v="0"/>
    <n v="171000"/>
    <n v="2025"/>
    <n v="1"/>
  </r>
  <r>
    <n v="1075"/>
    <d v="2025-01-22T00:00:00"/>
    <s v="South"/>
    <s v="Chennai"/>
    <s v="Electronics"/>
    <s v="Mobile"/>
    <s v="Neha"/>
    <s v="Offline"/>
    <n v="25024"/>
    <x v="1"/>
    <n v="0"/>
    <n v="75072"/>
    <n v="2025"/>
    <n v="1"/>
  </r>
  <r>
    <n v="1076"/>
    <d v="2025-02-23T00:00:00"/>
    <s v="South"/>
    <s v="Hyderabad"/>
    <s v="Electronics"/>
    <s v="Mobile"/>
    <s v="Rahul"/>
    <s v="Offline"/>
    <n v="23767"/>
    <x v="1"/>
    <n v="0"/>
    <n v="71301"/>
    <n v="2025"/>
    <n v="2"/>
  </r>
  <r>
    <n v="1077"/>
    <d v="2025-02-18T00:00:00"/>
    <s v="North"/>
    <s v="Delhi"/>
    <s v="Electronics"/>
    <s v="Mobile"/>
    <s v="Rahul"/>
    <s v="Online"/>
    <n v="20044"/>
    <x v="0"/>
    <n v="0"/>
    <n v="40088"/>
    <n v="2025"/>
    <n v="2"/>
  </r>
  <r>
    <n v="1078"/>
    <d v="2025-01-15T00:00:00"/>
    <s v="South"/>
    <s v="Hyderabad"/>
    <s v="Electronics"/>
    <s v="Laptop"/>
    <s v="Rahul"/>
    <s v="Offline"/>
    <n v="62188"/>
    <x v="1"/>
    <n v="0"/>
    <n v="186564"/>
    <n v="2025"/>
    <n v="1"/>
  </r>
  <r>
    <n v="1079"/>
    <d v="2025-02-03T00:00:00"/>
    <s v="North"/>
    <s v="Jaipur"/>
    <s v="Electronics"/>
    <s v="Mobile"/>
    <s v="Rahul"/>
    <s v="Online"/>
    <n v="21915"/>
    <x v="2"/>
    <n v="10"/>
    <n v="19723"/>
    <n v="2025"/>
    <n v="2"/>
  </r>
  <r>
    <n v="1080"/>
    <d v="2025-01-07T00:00:00"/>
    <s v="East"/>
    <s v="Kolkata"/>
    <s v="Electronics"/>
    <s v="Laptop"/>
    <s v="Priya"/>
    <s v="Offline"/>
    <n v="56360"/>
    <x v="2"/>
    <n v="0"/>
    <n v="56360"/>
    <n v="2025"/>
    <n v="1"/>
  </r>
  <r>
    <n v="1081"/>
    <d v="2025-01-14T00:00:00"/>
    <s v="South"/>
    <s v="Chennai"/>
    <s v="Electronics"/>
    <s v="Mobile"/>
    <s v="Rahul"/>
    <s v="Offline"/>
    <n v="28650"/>
    <x v="1"/>
    <n v="5"/>
    <n v="81652"/>
    <n v="2025"/>
    <n v="1"/>
  </r>
  <r>
    <n v="1082"/>
    <d v="2025-01-23T00:00:00"/>
    <s v="South"/>
    <s v="Chennai"/>
    <s v="Electronics"/>
    <s v="Mobile"/>
    <s v="Neha"/>
    <s v="Online"/>
    <n v="29690"/>
    <x v="1"/>
    <n v="5"/>
    <n v="84616"/>
    <n v="2025"/>
    <n v="1"/>
  </r>
  <r>
    <n v="1083"/>
    <d v="2025-01-11T00:00:00"/>
    <s v="North"/>
    <s v="Jaipur"/>
    <s v="Electronics"/>
    <s v="Mobile"/>
    <s v="Rahul"/>
    <s v="Offline"/>
    <n v="28083"/>
    <x v="1"/>
    <n v="10"/>
    <n v="75824"/>
    <n v="2025"/>
    <n v="1"/>
  </r>
  <r>
    <n v="1084"/>
    <d v="2025-02-03T00:00:00"/>
    <s v="South"/>
    <s v="Chennai"/>
    <s v="Electronics"/>
    <s v="Mobile"/>
    <s v="Priya"/>
    <s v="Offline"/>
    <n v="26980"/>
    <x v="1"/>
    <n v="0"/>
    <n v="80940"/>
    <n v="2025"/>
    <n v="2"/>
  </r>
  <r>
    <n v="1085"/>
    <d v="2025-02-17T00:00:00"/>
    <s v="West"/>
    <s v="Pune"/>
    <s v="Electronics"/>
    <s v="Tablet"/>
    <s v="Rahul"/>
    <s v="Offline"/>
    <n v="18963"/>
    <x v="0"/>
    <n v="5"/>
    <n v="36029"/>
    <n v="2025"/>
    <n v="2"/>
  </r>
  <r>
    <n v="1086"/>
    <d v="2025-01-28T00:00:00"/>
    <s v="South"/>
    <s v="Chennai"/>
    <s v="Electronics"/>
    <s v="Tablet"/>
    <s v="Priya"/>
    <s v="Offline"/>
    <n v="20833"/>
    <x v="0"/>
    <n v="15"/>
    <n v="35416"/>
    <n v="2025"/>
    <n v="1"/>
  </r>
  <r>
    <n v="1087"/>
    <d v="2025-02-26T00:00:00"/>
    <s v="South"/>
    <s v="Hyderabad"/>
    <s v="Electronics"/>
    <s v="Tablet"/>
    <s v="Amit"/>
    <s v="Offline"/>
    <n v="21796"/>
    <x v="2"/>
    <n v="15"/>
    <n v="18526"/>
    <n v="2025"/>
    <n v="2"/>
  </r>
  <r>
    <n v="1088"/>
    <d v="2025-01-04T00:00:00"/>
    <s v="East"/>
    <s v="Kolkata"/>
    <s v="Electronics"/>
    <s v="Tablet"/>
    <s v="Neha"/>
    <s v="Online"/>
    <n v="19761"/>
    <x v="0"/>
    <n v="0"/>
    <n v="39522"/>
    <n v="2025"/>
    <n v="1"/>
  </r>
  <r>
    <n v="1089"/>
    <d v="2025-01-08T00:00:00"/>
    <s v="South"/>
    <s v="Bangalore"/>
    <s v="Electronics"/>
    <s v="Laptop"/>
    <s v="Rahul"/>
    <s v="Offline"/>
    <n v="60006"/>
    <x v="0"/>
    <n v="5"/>
    <n v="114011"/>
    <n v="2025"/>
    <n v="1"/>
  </r>
  <r>
    <n v="1090"/>
    <d v="2025-01-27T00:00:00"/>
    <s v="North"/>
    <s v="Jaipur"/>
    <s v="Electronics"/>
    <s v="Laptop"/>
    <s v="Rahul"/>
    <s v="Online"/>
    <n v="59664"/>
    <x v="0"/>
    <n v="0"/>
    <n v="119328"/>
    <n v="2025"/>
    <n v="1"/>
  </r>
  <r>
    <n v="1091"/>
    <d v="2025-01-19T00:00:00"/>
    <s v="South"/>
    <s v="Bangalore"/>
    <s v="Electronics"/>
    <s v="Laptop"/>
    <s v="Amit"/>
    <s v="Online"/>
    <n v="56307"/>
    <x v="2"/>
    <n v="15"/>
    <n v="47860"/>
    <n v="2025"/>
    <n v="1"/>
  </r>
  <r>
    <n v="1092"/>
    <d v="2025-01-20T00:00:00"/>
    <s v="East"/>
    <s v="Kolkata"/>
    <s v="Electronics"/>
    <s v="Laptop"/>
    <s v="Priya"/>
    <s v="Online"/>
    <n v="57862"/>
    <x v="2"/>
    <n v="5"/>
    <n v="54968"/>
    <n v="2025"/>
    <n v="1"/>
  </r>
  <r>
    <n v="1093"/>
    <d v="2025-01-22T00:00:00"/>
    <s v="East"/>
    <s v="Patna"/>
    <s v="Electronics"/>
    <s v="Laptop"/>
    <s v="Rahul"/>
    <s v="Offline"/>
    <n v="55825"/>
    <x v="1"/>
    <n v="15"/>
    <n v="142353"/>
    <n v="2025"/>
    <n v="1"/>
  </r>
  <r>
    <n v="1094"/>
    <d v="2025-01-10T00:00:00"/>
    <s v="South"/>
    <s v="Hyderabad"/>
    <s v="Electronics"/>
    <s v="Laptop"/>
    <s v="Amit"/>
    <s v="Online"/>
    <n v="59130"/>
    <x v="0"/>
    <n v="10"/>
    <n v="106434"/>
    <n v="2025"/>
    <n v="1"/>
  </r>
  <r>
    <n v="1095"/>
    <d v="2025-02-28T00:00:00"/>
    <s v="West"/>
    <s v="Pune"/>
    <s v="Electronics"/>
    <s v="Tablet"/>
    <s v="Amit"/>
    <s v="Offline"/>
    <n v="24176"/>
    <x v="2"/>
    <n v="0"/>
    <n v="24176"/>
    <n v="2025"/>
    <n v="2"/>
  </r>
  <r>
    <n v="1096"/>
    <d v="2025-01-27T00:00:00"/>
    <s v="East"/>
    <s v="Kolkata"/>
    <s v="Electronics"/>
    <s v="Mobile"/>
    <s v="Amit"/>
    <s v="Online"/>
    <n v="29602"/>
    <x v="0"/>
    <n v="5"/>
    <n v="56243"/>
    <n v="2025"/>
    <n v="1"/>
  </r>
  <r>
    <n v="1097"/>
    <d v="2025-01-14T00:00:00"/>
    <s v="East"/>
    <s v="Patna"/>
    <s v="Electronics"/>
    <s v="Tablet"/>
    <s v="Priya"/>
    <s v="Offline"/>
    <n v="19668"/>
    <x v="1"/>
    <n v="5"/>
    <n v="56053"/>
    <n v="2025"/>
    <n v="1"/>
  </r>
  <r>
    <n v="1098"/>
    <d v="2025-02-03T00:00:00"/>
    <s v="North"/>
    <s v="Delhi"/>
    <s v="Electronics"/>
    <s v="Mobile"/>
    <s v="Neha"/>
    <s v="Online"/>
    <n v="25221"/>
    <x v="0"/>
    <n v="5"/>
    <n v="47919"/>
    <n v="2025"/>
    <n v="2"/>
  </r>
  <r>
    <n v="1099"/>
    <d v="2025-01-10T00:00:00"/>
    <s v="East"/>
    <s v="Patna"/>
    <s v="Electronics"/>
    <s v="Mobile"/>
    <s v="Rahul"/>
    <s v="Online"/>
    <n v="22831"/>
    <x v="0"/>
    <n v="15"/>
    <n v="38812"/>
    <n v="2025"/>
    <n v="1"/>
  </r>
  <r>
    <n v="1100"/>
    <d v="2025-02-08T00:00:00"/>
    <s v="North"/>
    <s v="Delhi"/>
    <s v="Electronics"/>
    <s v="Laptop"/>
    <s v="Rahul"/>
    <s v="Online"/>
    <n v="61375"/>
    <x v="2"/>
    <n v="0"/>
    <n v="61375"/>
    <n v="2025"/>
    <n v="2"/>
  </r>
  <r>
    <n v="1101"/>
    <d v="2025-02-09T00:00:00"/>
    <s v="East"/>
    <s v="Patna"/>
    <s v="Electronics"/>
    <s v="Mobile"/>
    <s v="Neha"/>
    <s v="Online"/>
    <n v="25720"/>
    <x v="2"/>
    <n v="10"/>
    <n v="23148"/>
    <n v="2025"/>
    <n v="2"/>
  </r>
  <r>
    <n v="1102"/>
    <d v="2025-02-13T00:00:00"/>
    <s v="West"/>
    <s v="Mumbai"/>
    <s v="Electronics"/>
    <s v="Mobile"/>
    <s v="Neha"/>
    <s v="Online"/>
    <n v="25702"/>
    <x v="2"/>
    <n v="5"/>
    <n v="24416"/>
    <n v="2025"/>
    <n v="2"/>
  </r>
  <r>
    <n v="1103"/>
    <d v="2025-01-08T00:00:00"/>
    <s v="South"/>
    <s v="Chennai"/>
    <s v="Electronics"/>
    <s v="Mobile"/>
    <s v="Amit"/>
    <s v="Online"/>
    <n v="23681"/>
    <x v="0"/>
    <n v="0"/>
    <n v="47362"/>
    <n v="2025"/>
    <n v="1"/>
  </r>
  <r>
    <n v="1104"/>
    <d v="2025-01-27T00:00:00"/>
    <s v="South"/>
    <s v="Chennai"/>
    <s v="Electronics"/>
    <s v="Tablet"/>
    <s v="Rahul"/>
    <s v="Online"/>
    <n v="19872"/>
    <x v="0"/>
    <n v="15"/>
    <n v="33782"/>
    <n v="2025"/>
    <n v="1"/>
  </r>
  <r>
    <n v="1105"/>
    <d v="2025-01-31T00:00:00"/>
    <s v="South"/>
    <s v="Bangalore"/>
    <s v="Electronics"/>
    <s v="Laptop"/>
    <s v="Rahul"/>
    <s v="Offline"/>
    <n v="60157"/>
    <x v="0"/>
    <n v="5"/>
    <n v="114298"/>
    <n v="2025"/>
    <n v="1"/>
  </r>
  <r>
    <n v="1106"/>
    <d v="2025-01-06T00:00:00"/>
    <s v="North"/>
    <s v="Jaipur"/>
    <s v="Electronics"/>
    <s v="Tablet"/>
    <s v="Amit"/>
    <s v="Offline"/>
    <n v="22091"/>
    <x v="0"/>
    <n v="10"/>
    <n v="39763"/>
    <n v="2025"/>
    <n v="1"/>
  </r>
  <r>
    <n v="1107"/>
    <d v="2025-02-23T00:00:00"/>
    <s v="West"/>
    <s v="Mumbai"/>
    <s v="Electronics"/>
    <s v="Mobile"/>
    <s v="Priya"/>
    <s v="Online"/>
    <n v="24379"/>
    <x v="1"/>
    <n v="15"/>
    <n v="62166"/>
    <n v="2025"/>
    <n v="2"/>
  </r>
  <r>
    <n v="1108"/>
    <d v="2025-02-26T00:00:00"/>
    <s v="North"/>
    <s v="Jaipur"/>
    <s v="Electronics"/>
    <s v="Laptop"/>
    <s v="Rahul"/>
    <s v="Online"/>
    <n v="57904"/>
    <x v="1"/>
    <n v="0"/>
    <n v="173712"/>
    <n v="2025"/>
    <n v="2"/>
  </r>
  <r>
    <n v="1109"/>
    <d v="2025-01-20T00:00:00"/>
    <s v="West"/>
    <s v="Pune"/>
    <s v="Electronics"/>
    <s v="Tablet"/>
    <s v="Rahul"/>
    <s v="Online"/>
    <n v="19588"/>
    <x v="2"/>
    <n v="10"/>
    <n v="17629"/>
    <n v="2025"/>
    <n v="1"/>
  </r>
  <r>
    <n v="1110"/>
    <d v="2025-01-26T00:00:00"/>
    <s v="West"/>
    <s v="Mumbai"/>
    <s v="Electronics"/>
    <s v="Mobile"/>
    <s v="Priya"/>
    <s v="Online"/>
    <n v="27362"/>
    <x v="1"/>
    <n v="15"/>
    <n v="69773"/>
    <n v="2025"/>
    <n v="1"/>
  </r>
  <r>
    <n v="1111"/>
    <d v="2025-01-19T00:00:00"/>
    <s v="South"/>
    <s v="Hyderabad"/>
    <s v="Electronics"/>
    <s v="Laptop"/>
    <s v="Amit"/>
    <s v="Online"/>
    <n v="64251"/>
    <x v="1"/>
    <n v="15"/>
    <n v="163840"/>
    <n v="2025"/>
    <n v="1"/>
  </r>
  <r>
    <n v="1112"/>
    <d v="2025-01-24T00:00:00"/>
    <s v="East"/>
    <s v="Patna"/>
    <s v="Electronics"/>
    <s v="Laptop"/>
    <s v="Amit"/>
    <s v="Online"/>
    <n v="57142"/>
    <x v="2"/>
    <n v="5"/>
    <n v="54284"/>
    <n v="2025"/>
    <n v="1"/>
  </r>
  <r>
    <n v="1113"/>
    <d v="2025-02-13T00:00:00"/>
    <s v="East"/>
    <s v="Patna"/>
    <s v="Electronics"/>
    <s v="Mobile"/>
    <s v="Rahul"/>
    <s v="Online"/>
    <n v="22749"/>
    <x v="0"/>
    <n v="5"/>
    <n v="43223"/>
    <n v="2025"/>
    <n v="2"/>
  </r>
  <r>
    <n v="1114"/>
    <d v="2025-01-11T00:00:00"/>
    <s v="East"/>
    <s v="Patna"/>
    <s v="Electronics"/>
    <s v="Tablet"/>
    <s v="Amit"/>
    <s v="Online"/>
    <n v="22815"/>
    <x v="2"/>
    <n v="0"/>
    <n v="22815"/>
    <n v="2025"/>
    <n v="1"/>
  </r>
  <r>
    <n v="1115"/>
    <d v="2025-02-03T00:00:00"/>
    <s v="East"/>
    <s v="Patna"/>
    <s v="Electronics"/>
    <s v="Laptop"/>
    <s v="Priya"/>
    <s v="Offline"/>
    <n v="64585"/>
    <x v="0"/>
    <n v="15"/>
    <n v="109794"/>
    <n v="2025"/>
    <n v="2"/>
  </r>
  <r>
    <n v="1116"/>
    <d v="2025-01-11T00:00:00"/>
    <s v="North"/>
    <s v="Delhi"/>
    <s v="Electronics"/>
    <s v="Laptop"/>
    <s v="Amit"/>
    <s v="Online"/>
    <n v="62798"/>
    <x v="0"/>
    <n v="0"/>
    <n v="125596"/>
    <n v="2025"/>
    <n v="1"/>
  </r>
  <r>
    <n v="1117"/>
    <d v="2025-01-23T00:00:00"/>
    <s v="North"/>
    <s v="Jaipur"/>
    <s v="Electronics"/>
    <s v="Tablet"/>
    <s v="Rahul"/>
    <s v="Offline"/>
    <n v="23868"/>
    <x v="2"/>
    <n v="5"/>
    <n v="22674"/>
    <n v="2025"/>
    <n v="1"/>
  </r>
  <r>
    <n v="1118"/>
    <d v="2025-01-23T00:00:00"/>
    <s v="South"/>
    <s v="Bangalore"/>
    <s v="Electronics"/>
    <s v="Mobile"/>
    <s v="Neha"/>
    <s v="Offline"/>
    <n v="29013"/>
    <x v="2"/>
    <n v="15"/>
    <n v="24661"/>
    <n v="2025"/>
    <n v="1"/>
  </r>
  <r>
    <n v="1119"/>
    <d v="2025-01-04T00:00:00"/>
    <s v="South"/>
    <s v="Bangalore"/>
    <s v="Electronics"/>
    <s v="Tablet"/>
    <s v="Priya"/>
    <s v="Offline"/>
    <n v="20344"/>
    <x v="2"/>
    <n v="0"/>
    <n v="20344"/>
    <n v="2025"/>
    <n v="1"/>
  </r>
  <r>
    <n v="1120"/>
    <d v="2025-01-23T00:00:00"/>
    <s v="North"/>
    <s v="Delhi"/>
    <s v="Electronics"/>
    <s v="Laptop"/>
    <s v="Rahul"/>
    <s v="Online"/>
    <n v="57320"/>
    <x v="1"/>
    <n v="15"/>
    <n v="146166"/>
    <n v="2025"/>
    <n v="1"/>
  </r>
  <r>
    <n v="1121"/>
    <d v="2025-01-25T00:00:00"/>
    <s v="North"/>
    <s v="Delhi"/>
    <s v="Electronics"/>
    <s v="Laptop"/>
    <s v="Rahul"/>
    <s v="Offline"/>
    <n v="57702"/>
    <x v="2"/>
    <n v="15"/>
    <n v="49046"/>
    <n v="2025"/>
    <n v="1"/>
  </r>
  <r>
    <n v="1122"/>
    <d v="2025-01-25T00:00:00"/>
    <s v="North"/>
    <s v="Jaipur"/>
    <s v="Electronics"/>
    <s v="Laptop"/>
    <s v="Priya"/>
    <s v="Online"/>
    <n v="55949"/>
    <x v="0"/>
    <n v="0"/>
    <n v="111898"/>
    <n v="2025"/>
    <n v="1"/>
  </r>
  <r>
    <n v="1123"/>
    <d v="2025-01-30T00:00:00"/>
    <s v="East"/>
    <s v="Kolkata"/>
    <s v="Electronics"/>
    <s v="Tablet"/>
    <s v="Neha"/>
    <s v="Online"/>
    <n v="21328"/>
    <x v="2"/>
    <n v="0"/>
    <n v="21328"/>
    <n v="2025"/>
    <n v="1"/>
  </r>
  <r>
    <n v="1124"/>
    <d v="2025-01-08T00:00:00"/>
    <s v="North"/>
    <s v="Delhi"/>
    <s v="Electronics"/>
    <s v="Mobile"/>
    <s v="Rahul"/>
    <s v="Offline"/>
    <n v="21833"/>
    <x v="1"/>
    <n v="5"/>
    <n v="62224"/>
    <n v="2025"/>
    <n v="1"/>
  </r>
  <r>
    <n v="1125"/>
    <d v="2025-02-16T00:00:00"/>
    <s v="East"/>
    <s v="Kolkata"/>
    <s v="Electronics"/>
    <s v="Tablet"/>
    <s v="Amit"/>
    <s v="Offline"/>
    <n v="19987"/>
    <x v="1"/>
    <n v="5"/>
    <n v="56962"/>
    <n v="2025"/>
    <n v="2"/>
  </r>
  <r>
    <n v="1126"/>
    <d v="2025-01-12T00:00:00"/>
    <s v="East"/>
    <s v="Kolkata"/>
    <s v="Electronics"/>
    <s v="Laptop"/>
    <s v="Priya"/>
    <s v="Offline"/>
    <n v="63258"/>
    <x v="2"/>
    <n v="10"/>
    <n v="56932"/>
    <n v="2025"/>
    <n v="1"/>
  </r>
  <r>
    <n v="1127"/>
    <d v="2025-02-11T00:00:00"/>
    <s v="West"/>
    <s v="Mumbai"/>
    <s v="Electronics"/>
    <s v="Mobile"/>
    <s v="Amit"/>
    <s v="Online"/>
    <n v="20119"/>
    <x v="0"/>
    <n v="15"/>
    <n v="34202"/>
    <n v="2025"/>
    <n v="2"/>
  </r>
  <r>
    <n v="1128"/>
    <d v="2025-02-12T00:00:00"/>
    <s v="West"/>
    <s v="Pune"/>
    <s v="Electronics"/>
    <s v="Mobile"/>
    <s v="Amit"/>
    <s v="Online"/>
    <n v="25502"/>
    <x v="2"/>
    <n v="15"/>
    <n v="21676"/>
    <n v="2025"/>
    <n v="2"/>
  </r>
  <r>
    <n v="1129"/>
    <d v="2025-01-04T00:00:00"/>
    <s v="South"/>
    <s v="Hyderabad"/>
    <s v="Electronics"/>
    <s v="Laptop"/>
    <s v="Rahul"/>
    <s v="Online"/>
    <n v="62514"/>
    <x v="1"/>
    <n v="0"/>
    <n v="187542"/>
    <n v="2025"/>
    <n v="1"/>
  </r>
  <r>
    <n v="1130"/>
    <d v="2025-03-02T00:00:00"/>
    <s v="East"/>
    <s v="Patna"/>
    <s v="Electronics"/>
    <s v="Mobile"/>
    <s v="Amit"/>
    <s v="Offline"/>
    <n v="21567"/>
    <x v="0"/>
    <n v="5"/>
    <n v="40977"/>
    <n v="2025"/>
    <n v="3"/>
  </r>
  <r>
    <n v="1131"/>
    <d v="2025-01-22T00:00:00"/>
    <s v="West"/>
    <s v="Pune"/>
    <s v="Electronics"/>
    <s v="Mobile"/>
    <s v="Priya"/>
    <s v="Offline"/>
    <n v="24661"/>
    <x v="1"/>
    <n v="0"/>
    <n v="73983"/>
    <n v="2025"/>
    <n v="1"/>
  </r>
  <r>
    <n v="1132"/>
    <d v="2025-01-26T00:00:00"/>
    <s v="North"/>
    <s v="Jaipur"/>
    <s v="Electronics"/>
    <s v="Laptop"/>
    <s v="Priya"/>
    <s v="Online"/>
    <n v="62472"/>
    <x v="0"/>
    <n v="15"/>
    <n v="106202"/>
    <n v="2025"/>
    <n v="1"/>
  </r>
  <r>
    <n v="1133"/>
    <d v="2025-01-28T00:00:00"/>
    <s v="North"/>
    <s v="Delhi"/>
    <s v="Electronics"/>
    <s v="Mobile"/>
    <s v="Amit"/>
    <s v="Online"/>
    <n v="23348"/>
    <x v="0"/>
    <n v="0"/>
    <n v="46696"/>
    <n v="2025"/>
    <n v="1"/>
  </r>
  <r>
    <n v="1134"/>
    <d v="2025-01-05T00:00:00"/>
    <s v="South"/>
    <s v="Hyderabad"/>
    <s v="Electronics"/>
    <s v="Mobile"/>
    <s v="Amit"/>
    <s v="Offline"/>
    <n v="22633"/>
    <x v="2"/>
    <n v="10"/>
    <n v="20369"/>
    <n v="2025"/>
    <n v="1"/>
  </r>
  <r>
    <n v="1135"/>
    <d v="2025-02-10T00:00:00"/>
    <s v="South"/>
    <s v="Bangalore"/>
    <s v="Electronics"/>
    <s v="Tablet"/>
    <s v="Priya"/>
    <s v="Online"/>
    <n v="19046"/>
    <x v="0"/>
    <n v="10"/>
    <n v="34282"/>
    <n v="2025"/>
    <n v="2"/>
  </r>
  <r>
    <n v="1136"/>
    <d v="2025-01-06T00:00:00"/>
    <s v="North"/>
    <s v="Delhi"/>
    <s v="Electronics"/>
    <s v="Tablet"/>
    <s v="Priya"/>
    <s v="Online"/>
    <n v="19430"/>
    <x v="2"/>
    <n v="5"/>
    <n v="18458"/>
    <n v="2025"/>
    <n v="1"/>
  </r>
  <r>
    <n v="1137"/>
    <d v="2025-01-13T00:00:00"/>
    <s v="North"/>
    <s v="Delhi"/>
    <s v="Electronics"/>
    <s v="Mobile"/>
    <s v="Rahul"/>
    <s v="Offline"/>
    <n v="29143"/>
    <x v="0"/>
    <n v="0"/>
    <n v="58286"/>
    <n v="2025"/>
    <n v="1"/>
  </r>
  <r>
    <n v="1138"/>
    <d v="2025-01-27T00:00:00"/>
    <s v="South"/>
    <s v="Hyderabad"/>
    <s v="Electronics"/>
    <s v="Laptop"/>
    <s v="Amit"/>
    <s v="Online"/>
    <n v="55473"/>
    <x v="0"/>
    <n v="10"/>
    <n v="99851"/>
    <n v="2025"/>
    <n v="1"/>
  </r>
  <r>
    <n v="1139"/>
    <d v="2025-01-07T00:00:00"/>
    <s v="North"/>
    <s v="Jaipur"/>
    <s v="Electronics"/>
    <s v="Mobile"/>
    <s v="Neha"/>
    <s v="Online"/>
    <n v="21680"/>
    <x v="0"/>
    <n v="5"/>
    <n v="41192"/>
    <n v="2025"/>
    <n v="1"/>
  </r>
  <r>
    <n v="1140"/>
    <d v="2025-01-21T00:00:00"/>
    <s v="East"/>
    <s v="Patna"/>
    <s v="Electronics"/>
    <s v="Laptop"/>
    <s v="Rahul"/>
    <s v="Offline"/>
    <n v="64654"/>
    <x v="1"/>
    <n v="10"/>
    <n v="174565"/>
    <n v="2025"/>
    <n v="1"/>
  </r>
  <r>
    <n v="1141"/>
    <d v="2025-02-15T00:00:00"/>
    <s v="North"/>
    <s v="Jaipur"/>
    <s v="Electronics"/>
    <s v="Laptop"/>
    <s v="Rahul"/>
    <s v="Online"/>
    <n v="57498"/>
    <x v="2"/>
    <n v="15"/>
    <n v="48873"/>
    <n v="2025"/>
    <n v="2"/>
  </r>
  <r>
    <n v="1142"/>
    <d v="2025-01-26T00:00:00"/>
    <s v="South"/>
    <s v="Bangalore"/>
    <s v="Electronics"/>
    <s v="Mobile"/>
    <s v="Amit"/>
    <s v="Offline"/>
    <n v="26703"/>
    <x v="0"/>
    <n v="15"/>
    <n v="45395"/>
    <n v="2025"/>
    <n v="1"/>
  </r>
  <r>
    <n v="1143"/>
    <d v="2025-01-21T00:00:00"/>
    <s v="South"/>
    <s v="Hyderabad"/>
    <s v="Electronics"/>
    <s v="Tablet"/>
    <s v="Rahul"/>
    <s v="Offline"/>
    <n v="20769"/>
    <x v="2"/>
    <n v="0"/>
    <n v="20769"/>
    <n v="2025"/>
    <n v="1"/>
  </r>
  <r>
    <n v="1144"/>
    <d v="2025-02-06T00:00:00"/>
    <s v="West"/>
    <s v="Pune"/>
    <s v="Electronics"/>
    <s v="Mobile"/>
    <s v="Amit"/>
    <s v="Offline"/>
    <n v="21414"/>
    <x v="1"/>
    <n v="15"/>
    <n v="54605"/>
    <n v="2025"/>
    <n v="2"/>
  </r>
  <r>
    <n v="1145"/>
    <d v="2025-01-04T00:00:00"/>
    <s v="South"/>
    <s v="Hyderabad"/>
    <s v="Electronics"/>
    <s v="Tablet"/>
    <s v="Rahul"/>
    <s v="Online"/>
    <n v="22132"/>
    <x v="1"/>
    <n v="15"/>
    <n v="56436"/>
    <n v="2025"/>
    <n v="1"/>
  </r>
  <r>
    <n v="1146"/>
    <d v="2025-02-28T00:00:00"/>
    <s v="North"/>
    <s v="Delhi"/>
    <s v="Electronics"/>
    <s v="Mobile"/>
    <s v="Priya"/>
    <s v="Offline"/>
    <n v="23367"/>
    <x v="0"/>
    <n v="10"/>
    <n v="42060"/>
    <n v="2025"/>
    <n v="2"/>
  </r>
  <r>
    <n v="1147"/>
    <d v="2025-01-26T00:00:00"/>
    <s v="South"/>
    <s v="Hyderabad"/>
    <s v="Electronics"/>
    <s v="Mobile"/>
    <s v="Amit"/>
    <s v="Online"/>
    <n v="28226"/>
    <x v="2"/>
    <n v="10"/>
    <n v="25403"/>
    <n v="2025"/>
    <n v="1"/>
  </r>
  <r>
    <n v="1148"/>
    <d v="2025-02-16T00:00:00"/>
    <s v="South"/>
    <s v="Hyderabad"/>
    <s v="Electronics"/>
    <s v="Mobile"/>
    <s v="Priya"/>
    <s v="Offline"/>
    <n v="29271"/>
    <x v="1"/>
    <n v="5"/>
    <n v="83422"/>
    <n v="2025"/>
    <n v="2"/>
  </r>
  <r>
    <n v="1149"/>
    <d v="2025-01-24T00:00:00"/>
    <s v="East"/>
    <s v="Kolkata"/>
    <s v="Electronics"/>
    <s v="Mobile"/>
    <s v="Neha"/>
    <s v="Online"/>
    <n v="25643"/>
    <x v="2"/>
    <n v="10"/>
    <n v="23078"/>
    <n v="2025"/>
    <n v="1"/>
  </r>
  <r>
    <n v="1150"/>
    <d v="2025-02-18T00:00:00"/>
    <s v="West"/>
    <s v="Pune"/>
    <s v="Electronics"/>
    <s v="Tablet"/>
    <s v="Rahul"/>
    <s v="Online"/>
    <n v="21700"/>
    <x v="0"/>
    <n v="0"/>
    <n v="43400"/>
    <n v="2025"/>
    <n v="2"/>
  </r>
  <r>
    <n v="1151"/>
    <d v="2025-02-11T00:00:00"/>
    <s v="South"/>
    <s v="Chennai"/>
    <s v="Electronics"/>
    <s v="Tablet"/>
    <s v="Neha"/>
    <s v="Online"/>
    <n v="23590"/>
    <x v="1"/>
    <n v="5"/>
    <n v="67231"/>
    <n v="2025"/>
    <n v="2"/>
  </r>
  <r>
    <n v="1152"/>
    <d v="2025-01-21T00:00:00"/>
    <s v="West"/>
    <s v="Mumbai"/>
    <s v="Electronics"/>
    <s v="Laptop"/>
    <s v="Rahul"/>
    <s v="Online"/>
    <n v="55065"/>
    <x v="1"/>
    <n v="15"/>
    <n v="140415"/>
    <n v="2025"/>
    <n v="1"/>
  </r>
  <r>
    <n v="1153"/>
    <d v="2025-02-25T00:00:00"/>
    <s v="East"/>
    <s v="Patna"/>
    <s v="Electronics"/>
    <s v="Laptop"/>
    <s v="Neha"/>
    <s v="Offline"/>
    <n v="63120"/>
    <x v="1"/>
    <n v="15"/>
    <n v="160956"/>
    <n v="2025"/>
    <n v="2"/>
  </r>
  <r>
    <n v="1154"/>
    <d v="2025-01-15T00:00:00"/>
    <s v="West"/>
    <s v="Pune"/>
    <s v="Electronics"/>
    <s v="Laptop"/>
    <s v="Priya"/>
    <s v="Offline"/>
    <n v="64363"/>
    <x v="1"/>
    <n v="15"/>
    <n v="164125"/>
    <n v="2025"/>
    <n v="1"/>
  </r>
  <r>
    <n v="1155"/>
    <d v="2025-01-25T00:00:00"/>
    <s v="West"/>
    <s v="Mumbai"/>
    <s v="Electronics"/>
    <s v="Laptop"/>
    <s v="Priya"/>
    <s v="Offline"/>
    <n v="58651"/>
    <x v="0"/>
    <n v="0"/>
    <n v="117302"/>
    <n v="2025"/>
    <n v="1"/>
  </r>
  <r>
    <n v="1156"/>
    <d v="2025-01-07T00:00:00"/>
    <s v="West"/>
    <s v="Pune"/>
    <s v="Electronics"/>
    <s v="Tablet"/>
    <s v="Neha"/>
    <s v="Offline"/>
    <n v="22331"/>
    <x v="2"/>
    <n v="10"/>
    <n v="20097"/>
    <n v="2025"/>
    <n v="1"/>
  </r>
  <r>
    <n v="1157"/>
    <d v="2025-02-19T00:00:00"/>
    <s v="West"/>
    <s v="Pune"/>
    <s v="Electronics"/>
    <s v="Laptop"/>
    <s v="Amit"/>
    <s v="Online"/>
    <n v="61641"/>
    <x v="1"/>
    <n v="5"/>
    <n v="175676"/>
    <n v="2025"/>
    <n v="2"/>
  </r>
  <r>
    <n v="1158"/>
    <d v="2025-02-19T00:00:00"/>
    <s v="South"/>
    <s v="Bangalore"/>
    <s v="Electronics"/>
    <s v="Laptop"/>
    <s v="Neha"/>
    <s v="Offline"/>
    <n v="62453"/>
    <x v="1"/>
    <n v="10"/>
    <n v="168623"/>
    <n v="2025"/>
    <n v="2"/>
  </r>
  <r>
    <n v="1159"/>
    <d v="2025-01-27T00:00:00"/>
    <s v="East"/>
    <s v="Kolkata"/>
    <s v="Electronics"/>
    <s v="Mobile"/>
    <s v="Neha"/>
    <s v="Online"/>
    <n v="23972"/>
    <x v="1"/>
    <n v="10"/>
    <n v="64724"/>
    <n v="2025"/>
    <n v="1"/>
  </r>
  <r>
    <n v="1160"/>
    <d v="2025-02-20T00:00:00"/>
    <s v="South"/>
    <s v="Hyderabad"/>
    <s v="Electronics"/>
    <s v="Tablet"/>
    <s v="Priya"/>
    <s v="Offline"/>
    <n v="23897"/>
    <x v="2"/>
    <n v="0"/>
    <n v="23897"/>
    <n v="2025"/>
    <n v="2"/>
  </r>
  <r>
    <n v="1161"/>
    <d v="2025-01-07T00:00:00"/>
    <s v="North"/>
    <s v="Jaipur"/>
    <s v="Electronics"/>
    <s v="Laptop"/>
    <s v="Amit"/>
    <s v="Online"/>
    <n v="61559"/>
    <x v="0"/>
    <n v="15"/>
    <n v="104650"/>
    <n v="2025"/>
    <n v="1"/>
  </r>
  <r>
    <n v="1162"/>
    <d v="2025-01-14T00:00:00"/>
    <s v="North"/>
    <s v="Jaipur"/>
    <s v="Electronics"/>
    <s v="Tablet"/>
    <s v="Neha"/>
    <s v="Online"/>
    <n v="19607"/>
    <x v="0"/>
    <n v="15"/>
    <n v="33331"/>
    <n v="2025"/>
    <n v="1"/>
  </r>
  <r>
    <n v="1163"/>
    <d v="2025-02-12T00:00:00"/>
    <s v="East"/>
    <s v="Kolkata"/>
    <s v="Electronics"/>
    <s v="Laptop"/>
    <s v="Priya"/>
    <s v="Offline"/>
    <n v="60153"/>
    <x v="1"/>
    <n v="5"/>
    <n v="171436"/>
    <n v="2025"/>
    <n v="2"/>
  </r>
  <r>
    <n v="1164"/>
    <d v="2025-02-17T00:00:00"/>
    <s v="South"/>
    <s v="Bangalore"/>
    <s v="Electronics"/>
    <s v="Mobile"/>
    <s v="Priya"/>
    <s v="Offline"/>
    <n v="21845"/>
    <x v="1"/>
    <n v="10"/>
    <n v="58981"/>
    <n v="2025"/>
    <n v="2"/>
  </r>
  <r>
    <n v="1165"/>
    <d v="2025-02-21T00:00:00"/>
    <s v="West"/>
    <s v="Pune"/>
    <s v="Electronics"/>
    <s v="Tablet"/>
    <s v="Priya"/>
    <s v="Online"/>
    <n v="19489"/>
    <x v="0"/>
    <n v="15"/>
    <n v="33131"/>
    <n v="2025"/>
    <n v="2"/>
  </r>
  <r>
    <n v="1166"/>
    <d v="2025-01-22T00:00:00"/>
    <s v="North"/>
    <s v="Delhi"/>
    <s v="Electronics"/>
    <s v="Laptop"/>
    <s v="Rahul"/>
    <s v="Offline"/>
    <n v="59766"/>
    <x v="0"/>
    <n v="5"/>
    <n v="113555"/>
    <n v="2025"/>
    <n v="1"/>
  </r>
  <r>
    <n v="1167"/>
    <d v="2025-02-01T00:00:00"/>
    <s v="North"/>
    <s v="Jaipur"/>
    <s v="Electronics"/>
    <s v="Laptop"/>
    <s v="Amit"/>
    <s v="Offline"/>
    <n v="63170"/>
    <x v="2"/>
    <n v="5"/>
    <n v="60011"/>
    <n v="2025"/>
    <n v="2"/>
  </r>
  <r>
    <n v="1168"/>
    <d v="2025-01-01T00:00:00"/>
    <s v="West"/>
    <s v="Pune"/>
    <s v="Electronics"/>
    <s v="Laptop"/>
    <s v="Amit"/>
    <s v="Offline"/>
    <n v="60331"/>
    <x v="0"/>
    <n v="0"/>
    <n v="120662"/>
    <n v="2025"/>
    <n v="1"/>
  </r>
  <r>
    <n v="1169"/>
    <d v="2025-02-14T00:00:00"/>
    <s v="South"/>
    <s v="Hyderabad"/>
    <s v="Electronics"/>
    <s v="Laptop"/>
    <s v="Priya"/>
    <s v="Online"/>
    <n v="62306"/>
    <x v="1"/>
    <n v="10"/>
    <n v="168226"/>
    <n v="2025"/>
    <n v="2"/>
  </r>
  <r>
    <n v="1170"/>
    <d v="2025-01-14T00:00:00"/>
    <s v="North"/>
    <s v="Jaipur"/>
    <s v="Electronics"/>
    <s v="Tablet"/>
    <s v="Rahul"/>
    <s v="Offline"/>
    <n v="19610"/>
    <x v="1"/>
    <n v="15"/>
    <n v="50005"/>
    <n v="2025"/>
    <n v="1"/>
  </r>
  <r>
    <n v="1171"/>
    <d v="2025-01-20T00:00:00"/>
    <s v="North"/>
    <s v="Delhi"/>
    <s v="Electronics"/>
    <s v="Laptop"/>
    <s v="Priya"/>
    <s v="Offline"/>
    <n v="60509"/>
    <x v="1"/>
    <n v="15"/>
    <n v="154297"/>
    <n v="2025"/>
    <n v="1"/>
  </r>
  <r>
    <n v="1172"/>
    <d v="2025-01-20T00:00:00"/>
    <s v="East"/>
    <s v="Kolkata"/>
    <s v="Electronics"/>
    <s v="Tablet"/>
    <s v="Priya"/>
    <s v="Offline"/>
    <n v="21041"/>
    <x v="1"/>
    <n v="15"/>
    <n v="53654"/>
    <n v="2025"/>
    <n v="1"/>
  </r>
  <r>
    <n v="1173"/>
    <d v="2025-02-16T00:00:00"/>
    <s v="North"/>
    <s v="Jaipur"/>
    <s v="Electronics"/>
    <s v="Laptop"/>
    <s v="Rahul"/>
    <s v="Offline"/>
    <n v="63937"/>
    <x v="1"/>
    <n v="10"/>
    <n v="172629"/>
    <n v="2025"/>
    <n v="2"/>
  </r>
  <r>
    <n v="1174"/>
    <d v="2025-01-07T00:00:00"/>
    <s v="West"/>
    <s v="Mumbai"/>
    <s v="Electronics"/>
    <s v="Tablet"/>
    <s v="Neha"/>
    <s v="Offline"/>
    <n v="20334"/>
    <x v="0"/>
    <n v="0"/>
    <n v="40668"/>
    <n v="2025"/>
    <n v="1"/>
  </r>
  <r>
    <n v="1175"/>
    <d v="2025-01-26T00:00:00"/>
    <s v="South"/>
    <s v="Bangalore"/>
    <s v="Electronics"/>
    <s v="Laptop"/>
    <s v="Amit"/>
    <s v="Offline"/>
    <n v="59849"/>
    <x v="0"/>
    <n v="5"/>
    <n v="113713"/>
    <n v="2025"/>
    <n v="1"/>
  </r>
  <r>
    <n v="1176"/>
    <d v="2025-01-21T00:00:00"/>
    <s v="East"/>
    <s v="Kolkata"/>
    <s v="Electronics"/>
    <s v="Tablet"/>
    <s v="Priya"/>
    <s v="Online"/>
    <n v="19682"/>
    <x v="0"/>
    <n v="0"/>
    <n v="39364"/>
    <n v="2025"/>
    <n v="1"/>
  </r>
  <r>
    <n v="1177"/>
    <d v="2025-03-01T00:00:00"/>
    <s v="West"/>
    <s v="Mumbai"/>
    <s v="Electronics"/>
    <s v="Tablet"/>
    <s v="Amit"/>
    <s v="Online"/>
    <n v="22873"/>
    <x v="0"/>
    <n v="10"/>
    <n v="41171"/>
    <n v="2025"/>
    <n v="3"/>
  </r>
  <r>
    <n v="1178"/>
    <d v="2025-02-14T00:00:00"/>
    <s v="West"/>
    <s v="Mumbai"/>
    <s v="Electronics"/>
    <s v="Tablet"/>
    <s v="Rahul"/>
    <s v="Online"/>
    <n v="19386"/>
    <x v="1"/>
    <n v="10"/>
    <n v="52342"/>
    <n v="2025"/>
    <n v="2"/>
  </r>
  <r>
    <n v="1179"/>
    <d v="2025-03-02T00:00:00"/>
    <s v="West"/>
    <s v="Mumbai"/>
    <s v="Electronics"/>
    <s v="Tablet"/>
    <s v="Rahul"/>
    <s v="Online"/>
    <n v="18799"/>
    <x v="2"/>
    <n v="10"/>
    <n v="16919"/>
    <n v="2025"/>
    <n v="3"/>
  </r>
  <r>
    <n v="1180"/>
    <d v="2025-02-08T00:00:00"/>
    <s v="West"/>
    <s v="Pune"/>
    <s v="Electronics"/>
    <s v="Laptop"/>
    <s v="Priya"/>
    <s v="Online"/>
    <n v="61670"/>
    <x v="0"/>
    <n v="10"/>
    <n v="111006"/>
    <n v="2025"/>
    <n v="2"/>
  </r>
  <r>
    <n v="1181"/>
    <d v="2025-02-05T00:00:00"/>
    <s v="North"/>
    <s v="Delhi"/>
    <s v="Electronics"/>
    <s v="Laptop"/>
    <s v="Rahul"/>
    <s v="Online"/>
    <n v="63111"/>
    <x v="1"/>
    <n v="5"/>
    <n v="179866"/>
    <n v="2025"/>
    <n v="2"/>
  </r>
  <r>
    <n v="1182"/>
    <d v="2025-02-11T00:00:00"/>
    <s v="West"/>
    <s v="Pune"/>
    <s v="Electronics"/>
    <s v="Tablet"/>
    <s v="Rahul"/>
    <s v="Offline"/>
    <n v="19762"/>
    <x v="0"/>
    <n v="0"/>
    <n v="39524"/>
    <n v="2025"/>
    <n v="2"/>
  </r>
  <r>
    <n v="1183"/>
    <d v="2025-01-31T00:00:00"/>
    <s v="South"/>
    <s v="Hyderabad"/>
    <s v="Electronics"/>
    <s v="Tablet"/>
    <s v="Neha"/>
    <s v="Offline"/>
    <n v="18095"/>
    <x v="1"/>
    <n v="5"/>
    <n v="51570"/>
    <n v="2025"/>
    <n v="1"/>
  </r>
  <r>
    <n v="1184"/>
    <d v="2025-03-02T00:00:00"/>
    <s v="North"/>
    <s v="Delhi"/>
    <s v="Electronics"/>
    <s v="Tablet"/>
    <s v="Rahul"/>
    <s v="Offline"/>
    <n v="19231"/>
    <x v="2"/>
    <n v="0"/>
    <n v="19231"/>
    <n v="2025"/>
    <n v="3"/>
  </r>
  <r>
    <n v="1185"/>
    <d v="2025-01-01T00:00:00"/>
    <s v="North"/>
    <s v="Delhi"/>
    <s v="Electronics"/>
    <s v="Tablet"/>
    <s v="Neha"/>
    <s v="Offline"/>
    <n v="21481"/>
    <x v="0"/>
    <n v="15"/>
    <n v="36517"/>
    <n v="2025"/>
    <n v="1"/>
  </r>
  <r>
    <n v="1186"/>
    <d v="2025-02-15T00:00:00"/>
    <s v="West"/>
    <s v="Pune"/>
    <s v="Electronics"/>
    <s v="Tablet"/>
    <s v="Neha"/>
    <s v="Online"/>
    <n v="19830"/>
    <x v="2"/>
    <n v="5"/>
    <n v="18838"/>
    <n v="2025"/>
    <n v="2"/>
  </r>
  <r>
    <n v="1187"/>
    <d v="2025-01-22T00:00:00"/>
    <s v="West"/>
    <s v="Pune"/>
    <s v="Electronics"/>
    <s v="Mobile"/>
    <s v="Priya"/>
    <s v="Offline"/>
    <n v="29171"/>
    <x v="2"/>
    <n v="15"/>
    <n v="24795"/>
    <n v="2025"/>
    <n v="1"/>
  </r>
  <r>
    <n v="1188"/>
    <d v="2025-02-04T00:00:00"/>
    <s v="East"/>
    <s v="Patna"/>
    <s v="Electronics"/>
    <s v="Mobile"/>
    <s v="Priya"/>
    <s v="Online"/>
    <n v="20211"/>
    <x v="0"/>
    <n v="10"/>
    <n v="36379"/>
    <n v="2025"/>
    <n v="2"/>
  </r>
  <r>
    <n v="1189"/>
    <d v="2025-01-14T00:00:00"/>
    <s v="East"/>
    <s v="Patna"/>
    <s v="Electronics"/>
    <s v="Mobile"/>
    <s v="Rahul"/>
    <s v="Offline"/>
    <n v="29317"/>
    <x v="2"/>
    <n v="10"/>
    <n v="26385"/>
    <n v="2025"/>
    <n v="1"/>
  </r>
  <r>
    <n v="1190"/>
    <d v="2025-02-09T00:00:00"/>
    <s v="North"/>
    <s v="Jaipur"/>
    <s v="Electronics"/>
    <s v="Mobile"/>
    <s v="Priya"/>
    <s v="Online"/>
    <n v="23154"/>
    <x v="0"/>
    <n v="15"/>
    <n v="39361"/>
    <n v="2025"/>
    <n v="2"/>
  </r>
  <r>
    <n v="1191"/>
    <d v="2025-02-28T00:00:00"/>
    <s v="West"/>
    <s v="Pune"/>
    <s v="Electronics"/>
    <s v="Laptop"/>
    <s v="Amit"/>
    <s v="Offline"/>
    <n v="64950"/>
    <x v="2"/>
    <n v="0"/>
    <n v="64950"/>
    <n v="2025"/>
    <n v="2"/>
  </r>
  <r>
    <n v="1192"/>
    <d v="2025-02-03T00:00:00"/>
    <s v="South"/>
    <s v="Bangalore"/>
    <s v="Electronics"/>
    <s v="Tablet"/>
    <s v="Rahul"/>
    <s v="Online"/>
    <n v="18102"/>
    <x v="0"/>
    <n v="15"/>
    <n v="30773"/>
    <n v="2025"/>
    <n v="2"/>
  </r>
  <r>
    <n v="1193"/>
    <d v="2025-01-07T00:00:00"/>
    <s v="South"/>
    <s v="Bangalore"/>
    <s v="Electronics"/>
    <s v="Laptop"/>
    <s v="Amit"/>
    <s v="Offline"/>
    <n v="61785"/>
    <x v="0"/>
    <n v="5"/>
    <n v="117391"/>
    <n v="2025"/>
    <n v="1"/>
  </r>
  <r>
    <n v="1194"/>
    <d v="2025-02-23T00:00:00"/>
    <s v="West"/>
    <s v="Mumbai"/>
    <s v="Electronics"/>
    <s v="Laptop"/>
    <s v="Neha"/>
    <s v="Online"/>
    <n v="61342"/>
    <x v="0"/>
    <n v="0"/>
    <n v="122684"/>
    <n v="2025"/>
    <n v="2"/>
  </r>
  <r>
    <n v="1195"/>
    <d v="2025-01-08T00:00:00"/>
    <s v="West"/>
    <s v="Pune"/>
    <s v="Electronics"/>
    <s v="Laptop"/>
    <s v="Priya"/>
    <s v="Offline"/>
    <n v="58031"/>
    <x v="0"/>
    <n v="0"/>
    <n v="116062"/>
    <n v="2025"/>
    <n v="1"/>
  </r>
  <r>
    <n v="1001"/>
    <d v="2025-02-07T00:00:00"/>
    <s v="East"/>
    <s v="Patna"/>
    <s v="Electronics"/>
    <s v="Tablet"/>
    <s v="Neha"/>
    <s v="Online"/>
    <n v="19827"/>
    <x v="0"/>
    <n v="15"/>
    <n v="33705"/>
    <n v="2025"/>
    <n v="2"/>
  </r>
  <r>
    <n v="1002"/>
    <d v="2025-02-25T00:00:00"/>
    <s v="East"/>
    <s v="Patna"/>
    <s v="Electronics"/>
    <s v="Laptop"/>
    <s v="Amit"/>
    <s v="Online"/>
    <n v="60112"/>
    <x v="1"/>
    <n v="0"/>
    <n v="180336"/>
    <n v="2025"/>
    <n v="2"/>
  </r>
  <r>
    <n v="1003"/>
    <d v="2025-02-15T00:00:00"/>
    <s v="East"/>
    <s v="Patna"/>
    <s v="Electronics"/>
    <s v="Laptop"/>
    <s v="Priya"/>
    <s v="Offline"/>
    <n v="60873"/>
    <x v="1"/>
    <n v="10"/>
    <n v="164357"/>
    <n v="2025"/>
    <n v="2"/>
  </r>
  <r>
    <n v="1004"/>
    <d v="2025-01-18T00:00:00"/>
    <s v="West"/>
    <s v="Pune"/>
    <s v="Electronics"/>
    <s v="Laptop"/>
    <s v="Amit"/>
    <s v="Offline"/>
    <n v="60285"/>
    <x v="2"/>
    <n v="0"/>
    <n v="60285"/>
    <n v="2025"/>
    <n v="1"/>
  </r>
  <r>
    <n v="1005"/>
    <d v="2025-01-02T00:00:00"/>
    <s v="East"/>
    <s v="Kolkata"/>
    <s v="Electronics"/>
    <s v="Mobile"/>
    <s v="Priya"/>
    <s v="Offline"/>
    <n v="27642"/>
    <x v="1"/>
    <n v="15"/>
    <n v="70487"/>
    <n v="2025"/>
    <n v="1"/>
  </r>
  <r>
    <m/>
    <m/>
    <m/>
    <m/>
    <m/>
    <m/>
    <m/>
    <m/>
    <m/>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3:K8" firstHeaderRow="1" firstDataRow="1" firstDataCol="1"/>
  <pivotFields count="14">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dataField="1" showAll="0"/>
    <pivotField showAll="0"/>
    <pivotField showAll="0"/>
  </pivotFields>
  <rowFields count="1">
    <field x="9"/>
  </rowFields>
  <rowItems count="5">
    <i>
      <x/>
    </i>
    <i>
      <x v="1"/>
    </i>
    <i>
      <x v="2"/>
    </i>
    <i>
      <x v="3"/>
    </i>
    <i t="grand">
      <x/>
    </i>
  </rowItems>
  <colItems count="1">
    <i/>
  </colItems>
  <dataFields count="1">
    <dataField name="Count of Sales_Amount" fld="1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11:H28" firstHeaderRow="1" firstDataRow="1" firstDataCol="1"/>
  <pivotFields count="14">
    <pivotField showAll="0"/>
    <pivotField numFmtId="164" showAll="0"/>
    <pivotField showAll="0"/>
    <pivotField showAll="0">
      <items count="10">
        <item x="4"/>
        <item x="5"/>
        <item x="7"/>
        <item x="8"/>
        <item x="6"/>
        <item x="2"/>
        <item x="3"/>
        <item x="0"/>
        <item x="1"/>
        <item t="default"/>
      </items>
    </pivotField>
    <pivotField showAll="0"/>
    <pivotField axis="axisRow" showAll="0">
      <items count="4">
        <item x="1"/>
        <item x="2"/>
        <item x="0"/>
        <item t="default"/>
      </items>
    </pivotField>
    <pivotField showAll="0">
      <items count="5">
        <item x="1"/>
        <item x="0"/>
        <item x="2"/>
        <item x="3"/>
        <item t="default"/>
      </items>
    </pivotField>
    <pivotField showAll="0"/>
    <pivotField showAll="0">
      <items count="195">
        <item x="181"/>
        <item x="190"/>
        <item x="68"/>
        <item x="43"/>
        <item x="177"/>
        <item x="84"/>
        <item x="50"/>
        <item x="134"/>
        <item x="182"/>
        <item x="21"/>
        <item x="66"/>
        <item x="176"/>
        <item x="135"/>
        <item x="49"/>
        <item x="163"/>
        <item x="108"/>
        <item x="160"/>
        <item x="168"/>
        <item x="5"/>
        <item x="96"/>
        <item x="174"/>
        <item x="11"/>
        <item x="19"/>
        <item x="87"/>
        <item x="180"/>
        <item x="56"/>
        <item x="0"/>
        <item x="184"/>
        <item x="103"/>
        <item x="124"/>
        <item x="76"/>
        <item x="126"/>
        <item x="186"/>
        <item x="172"/>
        <item x="118"/>
        <item x="40"/>
        <item x="142"/>
        <item x="28"/>
        <item x="85"/>
        <item x="29"/>
        <item x="45"/>
        <item x="31"/>
        <item x="170"/>
        <item x="122"/>
        <item x="13"/>
        <item x="143"/>
        <item x="183"/>
        <item x="129"/>
        <item x="61"/>
        <item x="138"/>
        <item x="148"/>
        <item x="26"/>
        <item x="86"/>
        <item x="123"/>
        <item x="162"/>
        <item x="27"/>
        <item x="78"/>
        <item x="105"/>
        <item x="144"/>
        <item x="154"/>
        <item x="133"/>
        <item x="112"/>
        <item x="30"/>
        <item x="113"/>
        <item x="98"/>
        <item x="175"/>
        <item x="46"/>
        <item x="55"/>
        <item x="48"/>
        <item x="188"/>
        <item x="132"/>
        <item x="145"/>
        <item x="149"/>
        <item x="102"/>
        <item x="36"/>
        <item x="75"/>
        <item x="60"/>
        <item x="53"/>
        <item x="116"/>
        <item x="158"/>
        <item x="157"/>
        <item x="94"/>
        <item x="15"/>
        <item x="106"/>
        <item x="12"/>
        <item x="69"/>
        <item x="130"/>
        <item x="32"/>
        <item x="41"/>
        <item x="35"/>
        <item x="74"/>
        <item x="97"/>
        <item x="72"/>
        <item x="51"/>
        <item x="39"/>
        <item x="127"/>
        <item x="147"/>
        <item x="101"/>
        <item x="100"/>
        <item x="9"/>
        <item x="17"/>
        <item x="65"/>
        <item x="14"/>
        <item x="33"/>
        <item x="141"/>
        <item x="83"/>
        <item x="34"/>
        <item x="70"/>
        <item x="109"/>
        <item x="24"/>
        <item x="4"/>
        <item x="82"/>
        <item x="38"/>
        <item x="57"/>
        <item x="10"/>
        <item x="80"/>
        <item x="62"/>
        <item x="117"/>
        <item x="136"/>
        <item x="185"/>
        <item x="23"/>
        <item x="146"/>
        <item x="187"/>
        <item x="44"/>
        <item x="95"/>
        <item x="81"/>
        <item x="47"/>
        <item x="150"/>
        <item x="137"/>
        <item x="64"/>
        <item x="92"/>
        <item x="121"/>
        <item x="90"/>
        <item x="79"/>
        <item x="16"/>
        <item x="73"/>
        <item x="111"/>
        <item x="119"/>
        <item x="22"/>
        <item x="140"/>
        <item x="120"/>
        <item x="91"/>
        <item x="107"/>
        <item x="193"/>
        <item x="153"/>
        <item x="37"/>
        <item x="93"/>
        <item x="89"/>
        <item x="164"/>
        <item x="173"/>
        <item x="88"/>
        <item x="63"/>
        <item x="1"/>
        <item x="161"/>
        <item x="104"/>
        <item x="3"/>
        <item x="166"/>
        <item x="8"/>
        <item x="169"/>
        <item x="2"/>
        <item x="6"/>
        <item x="192"/>
        <item x="99"/>
        <item x="159"/>
        <item x="155"/>
        <item x="178"/>
        <item x="58"/>
        <item x="191"/>
        <item x="54"/>
        <item x="20"/>
        <item x="42"/>
        <item x="77"/>
        <item x="167"/>
        <item x="156"/>
        <item x="131"/>
        <item x="128"/>
        <item x="25"/>
        <item x="67"/>
        <item x="115"/>
        <item x="179"/>
        <item x="151"/>
        <item x="165"/>
        <item x="125"/>
        <item x="71"/>
        <item x="18"/>
        <item x="59"/>
        <item x="52"/>
        <item x="171"/>
        <item x="7"/>
        <item x="110"/>
        <item x="152"/>
        <item x="114"/>
        <item x="139"/>
        <item x="189"/>
        <item t="default"/>
      </items>
    </pivotField>
    <pivotField showAll="0"/>
    <pivotField axis="axisRow" showAll="0">
      <items count="5">
        <item x="1"/>
        <item x="3"/>
        <item x="2"/>
        <item x="0"/>
        <item t="default"/>
      </items>
    </pivotField>
    <pivotField dataField="1" showAll="0"/>
    <pivotField showAll="0"/>
    <pivotField showAll="0"/>
  </pivotFields>
  <rowFields count="2">
    <field x="10"/>
    <field x="5"/>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Sales_Amount" fld="11"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G3:H8" firstHeaderRow="1" firstDataRow="1" firstDataCol="1"/>
  <pivotFields count="14">
    <pivotField showAll="0"/>
    <pivotField numFmtId="164" showAll="0"/>
    <pivotField showAll="0"/>
    <pivotField showAll="0">
      <items count="10">
        <item x="4"/>
        <item x="5"/>
        <item x="7"/>
        <item x="8"/>
        <item x="6"/>
        <item x="2"/>
        <item x="3"/>
        <item x="0"/>
        <item x="1"/>
        <item t="default"/>
      </items>
    </pivotField>
    <pivotField showAll="0"/>
    <pivotField showAll="0">
      <items count="4">
        <item x="1"/>
        <item x="2"/>
        <item x="0"/>
        <item t="default"/>
      </items>
    </pivotField>
    <pivotField axis="axisRow" showAll="0">
      <items count="5">
        <item x="1"/>
        <item x="0"/>
        <item x="2"/>
        <item x="3"/>
        <item t="default"/>
      </items>
    </pivotField>
    <pivotField showAll="0"/>
    <pivotField showAll="0"/>
    <pivotField showAll="0"/>
    <pivotField showAll="0"/>
    <pivotField dataField="1" showAll="0"/>
    <pivotField showAll="0"/>
    <pivotField showAll="0"/>
  </pivotFields>
  <rowFields count="1">
    <field x="6"/>
  </rowFields>
  <rowItems count="5">
    <i>
      <x/>
    </i>
    <i>
      <x v="1"/>
    </i>
    <i>
      <x v="2"/>
    </i>
    <i>
      <x v="3"/>
    </i>
    <i t="grand">
      <x/>
    </i>
  </rowItems>
  <colItems count="1">
    <i/>
  </colItems>
  <dataFields count="1">
    <dataField name="Sum of Sales_Amount" fld="11" baseField="0" baseItem="0"/>
  </dataFields>
  <chartFormats count="6">
    <chartFormat chart="0" format="1"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D3:E20" firstHeaderRow="1" firstDataRow="1" firstDataCol="1"/>
  <pivotFields count="14">
    <pivotField showAll="0"/>
    <pivotField numFmtId="164" showAll="0"/>
    <pivotField axis="axisRow" showAll="0">
      <items count="5">
        <item x="0"/>
        <item x="3"/>
        <item x="2"/>
        <item x="1"/>
        <item t="default"/>
      </items>
    </pivotField>
    <pivotField showAll="0">
      <items count="10">
        <item x="4"/>
        <item x="5"/>
        <item x="7"/>
        <item x="8"/>
        <item x="6"/>
        <item x="2"/>
        <item x="3"/>
        <item x="0"/>
        <item x="1"/>
        <item t="default"/>
      </items>
    </pivotField>
    <pivotField showAll="0"/>
    <pivotField axis="axisRow" showAll="0">
      <items count="4">
        <item x="1"/>
        <item x="2"/>
        <item x="0"/>
        <item t="default"/>
      </items>
    </pivotField>
    <pivotField showAll="0">
      <items count="5">
        <item x="1"/>
        <item x="0"/>
        <item x="2"/>
        <item x="3"/>
        <item t="default"/>
      </items>
    </pivotField>
    <pivotField showAll="0"/>
    <pivotField showAll="0"/>
    <pivotField showAll="0"/>
    <pivotField showAll="0"/>
    <pivotField dataField="1" showAll="0">
      <items count="196">
        <item x="178"/>
        <item x="68"/>
        <item x="49"/>
        <item x="108"/>
        <item x="45"/>
        <item x="135"/>
        <item x="86"/>
        <item x="43"/>
        <item x="27"/>
        <item x="5"/>
        <item x="40"/>
        <item x="11"/>
        <item x="185"/>
        <item x="183"/>
        <item x="46"/>
        <item x="78"/>
        <item x="155"/>
        <item x="118"/>
        <item x="133"/>
        <item x="30"/>
        <item x="142"/>
        <item x="122"/>
        <item x="13"/>
        <item x="61"/>
        <item x="51"/>
        <item x="127"/>
        <item x="65"/>
        <item x="14"/>
        <item x="116"/>
        <item x="113"/>
        <item x="55"/>
        <item x="148"/>
        <item x="100"/>
        <item x="159"/>
        <item x="94"/>
        <item x="101"/>
        <item x="117"/>
        <item x="186"/>
        <item x="35"/>
        <item x="33"/>
        <item x="146"/>
        <item x="188"/>
        <item x="47"/>
        <item x="191"/>
        <item x="164"/>
        <item x="161"/>
        <item x="0"/>
        <item x="103"/>
        <item x="126"/>
        <item x="134"/>
        <item x="85"/>
        <item x="84"/>
        <item x="187"/>
        <item x="184"/>
        <item x="19"/>
        <item x="98"/>
        <item x="189"/>
        <item x="175"/>
        <item x="87"/>
        <item x="181"/>
        <item x="29"/>
        <item x="105"/>
        <item x="76"/>
        <item x="173"/>
        <item x="129"/>
        <item x="176"/>
        <item x="138"/>
        <item x="26"/>
        <item x="145"/>
        <item x="31"/>
        <item x="36"/>
        <item x="112"/>
        <item x="149"/>
        <item x="9"/>
        <item x="141"/>
        <item x="132"/>
        <item x="102"/>
        <item x="90"/>
        <item x="97"/>
        <item x="72"/>
        <item x="62"/>
        <item x="140"/>
        <item x="70"/>
        <item x="120"/>
        <item x="66"/>
        <item x="169"/>
        <item x="57"/>
        <item x="182"/>
        <item x="21"/>
        <item x="177"/>
        <item x="56"/>
        <item x="171"/>
        <item x="50"/>
        <item x="111"/>
        <item x="34"/>
        <item x="143"/>
        <item x="91"/>
        <item x="23"/>
        <item x="58"/>
        <item x="96"/>
        <item x="95"/>
        <item x="79"/>
        <item x="144"/>
        <item x="125"/>
        <item x="124"/>
        <item x="10"/>
        <item x="136"/>
        <item x="163"/>
        <item x="48"/>
        <item x="42"/>
        <item x="166"/>
        <item x="3"/>
        <item x="59"/>
        <item x="99"/>
        <item x="15"/>
        <item x="106"/>
        <item x="123"/>
        <item x="28"/>
        <item x="60"/>
        <item x="158"/>
        <item x="190"/>
        <item x="17"/>
        <item x="41"/>
        <item x="150"/>
        <item x="53"/>
        <item x="109"/>
        <item x="12"/>
        <item x="69"/>
        <item x="32"/>
        <item x="4"/>
        <item x="75"/>
        <item x="130"/>
        <item x="74"/>
        <item x="82"/>
        <item x="39"/>
        <item x="83"/>
        <item x="80"/>
        <item x="24"/>
        <item x="147"/>
        <item x="44"/>
        <item x="38"/>
        <item x="81"/>
        <item x="137"/>
        <item x="63"/>
        <item x="160"/>
        <item x="131"/>
        <item x="93"/>
        <item x="71"/>
        <item x="8"/>
        <item x="114"/>
        <item x="179"/>
        <item x="64"/>
        <item x="121"/>
        <item x="16"/>
        <item x="165"/>
        <item x="174"/>
        <item x="88"/>
        <item x="104"/>
        <item x="22"/>
        <item x="52"/>
        <item x="194"/>
        <item x="154"/>
        <item x="192"/>
        <item x="37"/>
        <item x="20"/>
        <item x="89"/>
        <item x="167"/>
        <item x="193"/>
        <item x="115"/>
        <item x="7"/>
        <item x="151"/>
        <item x="92"/>
        <item x="119"/>
        <item x="170"/>
        <item x="67"/>
        <item x="152"/>
        <item x="18"/>
        <item x="110"/>
        <item x="153"/>
        <item x="2"/>
        <item x="6"/>
        <item x="54"/>
        <item x="168"/>
        <item x="157"/>
        <item x="73"/>
        <item x="162"/>
        <item x="172"/>
        <item x="107"/>
        <item x="139"/>
        <item x="156"/>
        <item x="180"/>
        <item x="1"/>
        <item x="77"/>
        <item x="128"/>
        <item x="25"/>
        <item t="default"/>
      </items>
    </pivotField>
    <pivotField showAll="0"/>
    <pivotField showAll="0"/>
  </pivotFields>
  <rowFields count="2">
    <field x="2"/>
    <field x="5"/>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0:B20" firstHeaderRow="1" firstDataRow="1" firstDataCol="1"/>
  <pivotFields count="14">
    <pivotField showAll="0"/>
    <pivotField numFmtId="164" showAll="0"/>
    <pivotField showAll="0"/>
    <pivotField axis="axisRow" showAll="0">
      <items count="10">
        <item x="4"/>
        <item x="5"/>
        <item x="7"/>
        <item x="8"/>
        <item x="6"/>
        <item x="2"/>
        <item x="3"/>
        <item x="0"/>
        <item x="1"/>
        <item t="default"/>
      </items>
    </pivotField>
    <pivotField showAll="0"/>
    <pivotField showAll="0">
      <items count="4">
        <item x="1"/>
        <item x="2"/>
        <item x="0"/>
        <item t="default"/>
      </items>
    </pivotField>
    <pivotField showAll="0">
      <items count="5">
        <item x="1"/>
        <item x="0"/>
        <item x="2"/>
        <item x="3"/>
        <item t="default"/>
      </items>
    </pivotField>
    <pivotField showAll="0"/>
    <pivotField showAll="0"/>
    <pivotField showAll="0"/>
    <pivotField showAll="0"/>
    <pivotField dataField="1"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Sales_Amount" fld="11" baseField="0" baseItem="0"/>
  </dataFields>
  <chartFormats count="3">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4">
    <pivotField showAll="0"/>
    <pivotField numFmtId="164" showAll="0"/>
    <pivotField showAll="0"/>
    <pivotField showAll="0">
      <items count="10">
        <item x="4"/>
        <item x="5"/>
        <item x="7"/>
        <item x="8"/>
        <item x="6"/>
        <item x="2"/>
        <item x="3"/>
        <item x="0"/>
        <item x="1"/>
        <item t="default"/>
      </items>
    </pivotField>
    <pivotField showAll="0"/>
    <pivotField axis="axisRow" showAll="0">
      <items count="4">
        <item x="1"/>
        <item x="2"/>
        <item x="0"/>
        <item t="default"/>
      </items>
    </pivotField>
    <pivotField showAll="0">
      <items count="5">
        <item x="1"/>
        <item x="0"/>
        <item x="2"/>
        <item x="3"/>
        <item t="default"/>
      </items>
    </pivotField>
    <pivotField showAll="0"/>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um of Sales_Amount" fld="11"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Amount" sourceName="Sales_Amount">
  <pivotTables>
    <pivotTable tabId="3" name="PivotTable3"/>
  </pivotTables>
  <data>
    <tabular pivotCacheId="1">
      <items count="195">
        <i x="178" s="1"/>
        <i x="68" s="1"/>
        <i x="49" s="1"/>
        <i x="108" s="1"/>
        <i x="45" s="1"/>
        <i x="135" s="1"/>
        <i x="86" s="1"/>
        <i x="43" s="1"/>
        <i x="27" s="1"/>
        <i x="5" s="1"/>
        <i x="40" s="1"/>
        <i x="11" s="1"/>
        <i x="185" s="1"/>
        <i x="183" s="1"/>
        <i x="46" s="1"/>
        <i x="78" s="1"/>
        <i x="155" s="1"/>
        <i x="118" s="1"/>
        <i x="133" s="1"/>
        <i x="30" s="1"/>
        <i x="142" s="1"/>
        <i x="122" s="1"/>
        <i x="13" s="1"/>
        <i x="61" s="1"/>
        <i x="51" s="1"/>
        <i x="127" s="1"/>
        <i x="65" s="1"/>
        <i x="14" s="1"/>
        <i x="116" s="1"/>
        <i x="113" s="1"/>
        <i x="55" s="1"/>
        <i x="148" s="1"/>
        <i x="100" s="1"/>
        <i x="159" s="1"/>
        <i x="94" s="1"/>
        <i x="101" s="1"/>
        <i x="117" s="1"/>
        <i x="186" s="1"/>
        <i x="35" s="1"/>
        <i x="33" s="1"/>
        <i x="146" s="1"/>
        <i x="188" s="1"/>
        <i x="47" s="1"/>
        <i x="191" s="1"/>
        <i x="164" s="1"/>
        <i x="161" s="1"/>
        <i x="0" s="1"/>
        <i x="103" s="1"/>
        <i x="126" s="1"/>
        <i x="134" s="1"/>
        <i x="85" s="1"/>
        <i x="84" s="1"/>
        <i x="187" s="1"/>
        <i x="184" s="1"/>
        <i x="19" s="1"/>
        <i x="98" s="1"/>
        <i x="189" s="1"/>
        <i x="175" s="1"/>
        <i x="87" s="1"/>
        <i x="181" s="1"/>
        <i x="29" s="1"/>
        <i x="105" s="1"/>
        <i x="76" s="1"/>
        <i x="173" s="1"/>
        <i x="129" s="1"/>
        <i x="176" s="1"/>
        <i x="138" s="1"/>
        <i x="26" s="1"/>
        <i x="145" s="1"/>
        <i x="31" s="1"/>
        <i x="36" s="1"/>
        <i x="112" s="1"/>
        <i x="149" s="1"/>
        <i x="9" s="1"/>
        <i x="141" s="1"/>
        <i x="132" s="1"/>
        <i x="102" s="1"/>
        <i x="90" s="1"/>
        <i x="97" s="1"/>
        <i x="72" s="1"/>
        <i x="62" s="1"/>
        <i x="140" s="1"/>
        <i x="70" s="1"/>
        <i x="120" s="1"/>
        <i x="66" s="1"/>
        <i x="169" s="1"/>
        <i x="57" s="1"/>
        <i x="182" s="1"/>
        <i x="21" s="1"/>
        <i x="177" s="1"/>
        <i x="56" s="1"/>
        <i x="171" s="1"/>
        <i x="50" s="1"/>
        <i x="111" s="1"/>
        <i x="34" s="1"/>
        <i x="143" s="1"/>
        <i x="91" s="1"/>
        <i x="23" s="1"/>
        <i x="58" s="1"/>
        <i x="96" s="1"/>
        <i x="95" s="1"/>
        <i x="79" s="1"/>
        <i x="144" s="1"/>
        <i x="125" s="1"/>
        <i x="124" s="1"/>
        <i x="10" s="1"/>
        <i x="136" s="1"/>
        <i x="163" s="1"/>
        <i x="48" s="1"/>
        <i x="42" s="1"/>
        <i x="166" s="1"/>
        <i x="3" s="1"/>
        <i x="59" s="1"/>
        <i x="99" s="1"/>
        <i x="15" s="1"/>
        <i x="106" s="1"/>
        <i x="123" s="1"/>
        <i x="28" s="1"/>
        <i x="60" s="1"/>
        <i x="158" s="1"/>
        <i x="190" s="1"/>
        <i x="17" s="1"/>
        <i x="41" s="1"/>
        <i x="150" s="1"/>
        <i x="53" s="1"/>
        <i x="109" s="1"/>
        <i x="12" s="1"/>
        <i x="69" s="1"/>
        <i x="32" s="1"/>
        <i x="4" s="1"/>
        <i x="75" s="1"/>
        <i x="130" s="1"/>
        <i x="74" s="1"/>
        <i x="82" s="1"/>
        <i x="39" s="1"/>
        <i x="83" s="1"/>
        <i x="80" s="1"/>
        <i x="24" s="1"/>
        <i x="147" s="1"/>
        <i x="44" s="1"/>
        <i x="38" s="1"/>
        <i x="81" s="1"/>
        <i x="137" s="1"/>
        <i x="63" s="1"/>
        <i x="160" s="1"/>
        <i x="131" s="1"/>
        <i x="93" s="1"/>
        <i x="71" s="1"/>
        <i x="8" s="1"/>
        <i x="114" s="1"/>
        <i x="179" s="1"/>
        <i x="64" s="1"/>
        <i x="121" s="1"/>
        <i x="16" s="1"/>
        <i x="165" s="1"/>
        <i x="174" s="1"/>
        <i x="88" s="1"/>
        <i x="104" s="1"/>
        <i x="22" s="1"/>
        <i x="52" s="1"/>
        <i x="194" s="1"/>
        <i x="154" s="1"/>
        <i x="192" s="1"/>
        <i x="37" s="1"/>
        <i x="20" s="1"/>
        <i x="89" s="1"/>
        <i x="167" s="1"/>
        <i x="193" s="1"/>
        <i x="115" s="1"/>
        <i x="7" s="1"/>
        <i x="151" s="1"/>
        <i x="92" s="1"/>
        <i x="119" s="1"/>
        <i x="170" s="1"/>
        <i x="67" s="1"/>
        <i x="152" s="1"/>
        <i x="18" s="1"/>
        <i x="110" s="1"/>
        <i x="153" s="1"/>
        <i x="2" s="1"/>
        <i x="6" s="1"/>
        <i x="54" s="1"/>
        <i x="168" s="1"/>
        <i x="157" s="1"/>
        <i x="73" s="1"/>
        <i x="162" s="1"/>
        <i x="172" s="1"/>
        <i x="107" s="1"/>
        <i x="139" s="1"/>
        <i x="156" s="1"/>
        <i x="180" s="1"/>
        <i x="1" s="1"/>
        <i x="77" s="1"/>
        <i x="128" s="1"/>
        <i x="2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Person" sourceName="Sales_Person">
  <pivotTables>
    <pivotTable tabId="3" name="PivotTable3"/>
    <pivotTable tabId="3" name="PivotTable1"/>
    <pivotTable tabId="3" name="PivotTable2"/>
    <pivotTable tabId="3" name="PivotTable4"/>
    <pivotTable tabId="3" name="PivotTable5"/>
  </pivotTables>
  <data>
    <tabular pivotCacheId="1">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3"/>
    <pivotTable tabId="3" name="PivotTable1"/>
    <pivotTable tabId="3" name="PivotTable2"/>
    <pivotTable tabId="3" name="PivotTable4"/>
    <pivotTable tabId="3" name="PivotTable5"/>
  </pivotTables>
  <data>
    <tabular pivotCacheId="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3"/>
    <pivotTable tabId="3" name="PivotTable1"/>
    <pivotTable tabId="3" name="PivotTable2"/>
    <pivotTable tabId="3" name="PivotTable4"/>
    <pivotTable tabId="3" name="PivotTable5"/>
  </pivotTables>
  <data>
    <tabular pivotCacheId="1">
      <items count="9">
        <i x="4" s="1"/>
        <i x="5" s="1"/>
        <i x="7" s="1"/>
        <i x="8" s="1"/>
        <i x="6" s="1"/>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_Amount" cache="Slicer_Sales_Amount" caption="Sales_Amount" startItem="7" rowHeight="234950"/>
  <slicer name="Sales_Person" cache="Slicer_Sales_Person" caption="Sales_Person" rowHeight="234950"/>
  <slicer name="Product" cache="Slicer_Product" caption="Product" rowHeight="234950"/>
  <slicer name="City" cache="Slicer_City" caption="City" startItem="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1"/>
  <sheetViews>
    <sheetView workbookViewId="0">
      <selection activeCell="G13" sqref="A1:XFD1048576"/>
    </sheetView>
  </sheetViews>
  <sheetFormatPr defaultRowHeight="14.4" x14ac:dyDescent="0.3"/>
  <cols>
    <col min="2" max="2" width="15.77734375" customWidth="1"/>
    <col min="5" max="5" width="8.88671875" customWidth="1"/>
    <col min="11" max="11" width="13.77734375" customWidth="1"/>
    <col min="12" max="12" width="20.21875" customWidth="1"/>
  </cols>
  <sheetData>
    <row r="1" spans="1:14" x14ac:dyDescent="0.3">
      <c r="A1" t="s">
        <v>0</v>
      </c>
      <c r="B1" t="s">
        <v>1</v>
      </c>
      <c r="C1" t="s">
        <v>2</v>
      </c>
      <c r="D1" t="s">
        <v>3</v>
      </c>
      <c r="E1" t="s">
        <v>4</v>
      </c>
      <c r="F1" t="s">
        <v>5</v>
      </c>
      <c r="G1" t="s">
        <v>6</v>
      </c>
      <c r="H1" t="s">
        <v>7</v>
      </c>
      <c r="I1" t="s">
        <v>8</v>
      </c>
      <c r="J1" t="s">
        <v>9</v>
      </c>
      <c r="K1" t="s">
        <v>10</v>
      </c>
      <c r="L1" t="s">
        <v>11</v>
      </c>
      <c r="M1" t="s">
        <v>35</v>
      </c>
      <c r="N1" t="s">
        <v>36</v>
      </c>
    </row>
    <row r="2" spans="1:14" x14ac:dyDescent="0.3">
      <c r="A2">
        <v>1001</v>
      </c>
      <c r="B2" s="1">
        <v>45695</v>
      </c>
      <c r="C2" t="s">
        <v>12</v>
      </c>
      <c r="D2" t="s">
        <v>13</v>
      </c>
      <c r="E2" t="s">
        <v>14</v>
      </c>
      <c r="F2" t="s">
        <v>15</v>
      </c>
      <c r="G2" t="s">
        <v>16</v>
      </c>
      <c r="H2" t="s">
        <v>17</v>
      </c>
      <c r="I2">
        <v>19827</v>
      </c>
      <c r="J2">
        <v>2</v>
      </c>
      <c r="K2">
        <v>15</v>
      </c>
      <c r="L2">
        <v>33705</v>
      </c>
      <c r="M2">
        <f>YEAR(B2)</f>
        <v>2025</v>
      </c>
      <c r="N2">
        <f>MONTH(B2)</f>
        <v>2</v>
      </c>
    </row>
    <row r="3" spans="1:14" x14ac:dyDescent="0.3">
      <c r="A3">
        <v>1002</v>
      </c>
      <c r="B3" s="1">
        <v>45713</v>
      </c>
      <c r="C3" t="s">
        <v>12</v>
      </c>
      <c r="D3" t="s">
        <v>13</v>
      </c>
      <c r="E3" t="s">
        <v>14</v>
      </c>
      <c r="F3" t="s">
        <v>18</v>
      </c>
      <c r="G3" t="s">
        <v>19</v>
      </c>
      <c r="H3" t="s">
        <v>17</v>
      </c>
      <c r="I3">
        <v>60112</v>
      </c>
      <c r="J3">
        <v>3</v>
      </c>
      <c r="K3">
        <v>0</v>
      </c>
      <c r="L3">
        <v>180336</v>
      </c>
      <c r="M3">
        <f t="shared" ref="M3:M66" si="0">YEAR(B3)</f>
        <v>2025</v>
      </c>
      <c r="N3">
        <f t="shared" ref="N3:N66" si="1">MONTH(B3)</f>
        <v>2</v>
      </c>
    </row>
    <row r="4" spans="1:14" x14ac:dyDescent="0.3">
      <c r="A4">
        <v>1003</v>
      </c>
      <c r="B4" s="1">
        <v>45703</v>
      </c>
      <c r="C4" t="s">
        <v>12</v>
      </c>
      <c r="D4" t="s">
        <v>13</v>
      </c>
      <c r="E4" t="s">
        <v>14</v>
      </c>
      <c r="F4" t="s">
        <v>18</v>
      </c>
      <c r="G4" t="s">
        <v>20</v>
      </c>
      <c r="H4" t="s">
        <v>21</v>
      </c>
      <c r="I4">
        <v>60873</v>
      </c>
      <c r="J4">
        <v>3</v>
      </c>
      <c r="K4">
        <v>10</v>
      </c>
      <c r="L4">
        <v>164357</v>
      </c>
      <c r="M4">
        <f t="shared" si="0"/>
        <v>2025</v>
      </c>
      <c r="N4">
        <f t="shared" si="1"/>
        <v>2</v>
      </c>
    </row>
    <row r="5" spans="1:14" x14ac:dyDescent="0.3">
      <c r="A5">
        <v>1004</v>
      </c>
      <c r="B5" s="1">
        <v>45675</v>
      </c>
      <c r="C5" t="s">
        <v>22</v>
      </c>
      <c r="D5" t="s">
        <v>23</v>
      </c>
      <c r="E5" t="s">
        <v>14</v>
      </c>
      <c r="F5" t="s">
        <v>18</v>
      </c>
      <c r="G5" t="s">
        <v>19</v>
      </c>
      <c r="H5" t="s">
        <v>21</v>
      </c>
      <c r="I5">
        <v>60285</v>
      </c>
      <c r="J5">
        <v>1</v>
      </c>
      <c r="K5">
        <v>0</v>
      </c>
      <c r="L5">
        <v>60285</v>
      </c>
      <c r="M5">
        <f t="shared" si="0"/>
        <v>2025</v>
      </c>
      <c r="N5">
        <f t="shared" si="1"/>
        <v>1</v>
      </c>
    </row>
    <row r="6" spans="1:14" x14ac:dyDescent="0.3">
      <c r="A6">
        <v>1005</v>
      </c>
      <c r="B6" s="1">
        <v>45659</v>
      </c>
      <c r="C6" t="s">
        <v>12</v>
      </c>
      <c r="D6" t="s">
        <v>24</v>
      </c>
      <c r="E6" t="s">
        <v>14</v>
      </c>
      <c r="F6" t="s">
        <v>25</v>
      </c>
      <c r="G6" t="s">
        <v>20</v>
      </c>
      <c r="H6" t="s">
        <v>21</v>
      </c>
      <c r="I6">
        <v>27642</v>
      </c>
      <c r="J6">
        <v>3</v>
      </c>
      <c r="K6">
        <v>15</v>
      </c>
      <c r="L6">
        <v>70487</v>
      </c>
      <c r="M6">
        <f t="shared" si="0"/>
        <v>2025</v>
      </c>
      <c r="N6">
        <f t="shared" si="1"/>
        <v>1</v>
      </c>
    </row>
    <row r="7" spans="1:14" x14ac:dyDescent="0.3">
      <c r="A7">
        <v>1006</v>
      </c>
      <c r="B7" s="1">
        <v>45685</v>
      </c>
      <c r="C7" t="s">
        <v>12</v>
      </c>
      <c r="D7" t="s">
        <v>24</v>
      </c>
      <c r="E7" t="s">
        <v>14</v>
      </c>
      <c r="F7" t="s">
        <v>15</v>
      </c>
      <c r="G7" t="s">
        <v>20</v>
      </c>
      <c r="H7" t="s">
        <v>17</v>
      </c>
      <c r="I7">
        <v>19663</v>
      </c>
      <c r="J7">
        <v>1</v>
      </c>
      <c r="K7">
        <v>5</v>
      </c>
      <c r="L7">
        <v>18679</v>
      </c>
      <c r="M7">
        <f t="shared" si="0"/>
        <v>2025</v>
      </c>
      <c r="N7">
        <f t="shared" si="1"/>
        <v>1</v>
      </c>
    </row>
    <row r="8" spans="1:14" x14ac:dyDescent="0.3">
      <c r="A8">
        <v>1007</v>
      </c>
      <c r="B8" s="1">
        <v>45706</v>
      </c>
      <c r="C8" t="s">
        <v>12</v>
      </c>
      <c r="D8" t="s">
        <v>24</v>
      </c>
      <c r="E8" t="s">
        <v>14</v>
      </c>
      <c r="F8" t="s">
        <v>18</v>
      </c>
      <c r="G8" t="s">
        <v>20</v>
      </c>
      <c r="H8" t="s">
        <v>17</v>
      </c>
      <c r="I8">
        <v>60887</v>
      </c>
      <c r="J8">
        <v>3</v>
      </c>
      <c r="K8">
        <v>10</v>
      </c>
      <c r="L8">
        <v>164394</v>
      </c>
      <c r="M8">
        <f t="shared" si="0"/>
        <v>2025</v>
      </c>
      <c r="N8">
        <f t="shared" si="1"/>
        <v>2</v>
      </c>
    </row>
    <row r="9" spans="1:14" x14ac:dyDescent="0.3">
      <c r="A9">
        <v>1008</v>
      </c>
      <c r="B9" s="1">
        <v>45690</v>
      </c>
      <c r="C9" t="s">
        <v>12</v>
      </c>
      <c r="D9" t="s">
        <v>24</v>
      </c>
      <c r="E9" t="s">
        <v>14</v>
      </c>
      <c r="F9" t="s">
        <v>18</v>
      </c>
      <c r="G9" t="s">
        <v>26</v>
      </c>
      <c r="H9" t="s">
        <v>21</v>
      </c>
      <c r="I9">
        <v>64007</v>
      </c>
      <c r="J9">
        <v>2</v>
      </c>
      <c r="K9">
        <v>0</v>
      </c>
      <c r="L9">
        <v>128014</v>
      </c>
      <c r="M9">
        <f t="shared" si="0"/>
        <v>2025</v>
      </c>
      <c r="N9">
        <f t="shared" si="1"/>
        <v>2</v>
      </c>
    </row>
    <row r="10" spans="1:14" x14ac:dyDescent="0.3">
      <c r="A10">
        <v>1009</v>
      </c>
      <c r="B10" s="1">
        <v>45689</v>
      </c>
      <c r="C10" t="s">
        <v>22</v>
      </c>
      <c r="D10" t="s">
        <v>27</v>
      </c>
      <c r="E10" t="s">
        <v>14</v>
      </c>
      <c r="F10" t="s">
        <v>18</v>
      </c>
      <c r="G10" t="s">
        <v>16</v>
      </c>
      <c r="H10" t="s">
        <v>17</v>
      </c>
      <c r="I10">
        <v>60505</v>
      </c>
      <c r="J10">
        <v>2</v>
      </c>
      <c r="K10">
        <v>10</v>
      </c>
      <c r="L10">
        <v>108909</v>
      </c>
      <c r="M10">
        <f t="shared" si="0"/>
        <v>2025</v>
      </c>
      <c r="N10">
        <f t="shared" si="1"/>
        <v>2</v>
      </c>
    </row>
    <row r="11" spans="1:14" x14ac:dyDescent="0.3">
      <c r="A11">
        <v>1010</v>
      </c>
      <c r="B11" s="1">
        <v>45714</v>
      </c>
      <c r="C11" t="s">
        <v>28</v>
      </c>
      <c r="D11" t="s">
        <v>29</v>
      </c>
      <c r="E11" t="s">
        <v>14</v>
      </c>
      <c r="F11" t="s">
        <v>25</v>
      </c>
      <c r="G11" t="s">
        <v>19</v>
      </c>
      <c r="H11" t="s">
        <v>17</v>
      </c>
      <c r="I11">
        <v>26085</v>
      </c>
      <c r="J11">
        <v>2</v>
      </c>
      <c r="K11">
        <v>15</v>
      </c>
      <c r="L11">
        <v>44344</v>
      </c>
      <c r="M11">
        <f t="shared" si="0"/>
        <v>2025</v>
      </c>
      <c r="N11">
        <f t="shared" si="1"/>
        <v>2</v>
      </c>
    </row>
    <row r="12" spans="1:14" x14ac:dyDescent="0.3">
      <c r="A12">
        <v>1011</v>
      </c>
      <c r="B12" s="1">
        <v>45714</v>
      </c>
      <c r="C12" t="s">
        <v>22</v>
      </c>
      <c r="D12" t="s">
        <v>27</v>
      </c>
      <c r="E12" t="s">
        <v>14</v>
      </c>
      <c r="F12" t="s">
        <v>25</v>
      </c>
      <c r="G12" t="s">
        <v>26</v>
      </c>
      <c r="H12" t="s">
        <v>21</v>
      </c>
      <c r="I12">
        <v>28575</v>
      </c>
      <c r="J12">
        <v>2</v>
      </c>
      <c r="K12">
        <v>0</v>
      </c>
      <c r="L12">
        <v>57150</v>
      </c>
      <c r="M12">
        <f t="shared" si="0"/>
        <v>2025</v>
      </c>
      <c r="N12">
        <f t="shared" si="1"/>
        <v>2</v>
      </c>
    </row>
    <row r="13" spans="1:14" x14ac:dyDescent="0.3">
      <c r="A13">
        <v>1012</v>
      </c>
      <c r="B13" s="1">
        <v>45703</v>
      </c>
      <c r="C13" t="s">
        <v>28</v>
      </c>
      <c r="D13" t="s">
        <v>30</v>
      </c>
      <c r="E13" t="s">
        <v>14</v>
      </c>
      <c r="F13" t="s">
        <v>15</v>
      </c>
      <c r="G13" t="s">
        <v>19</v>
      </c>
      <c r="H13" t="s">
        <v>17</v>
      </c>
      <c r="I13">
        <v>19693</v>
      </c>
      <c r="J13">
        <v>1</v>
      </c>
      <c r="K13">
        <v>5</v>
      </c>
      <c r="L13">
        <v>18708</v>
      </c>
      <c r="M13">
        <f t="shared" si="0"/>
        <v>2025</v>
      </c>
      <c r="N13">
        <f t="shared" si="1"/>
        <v>2</v>
      </c>
    </row>
    <row r="14" spans="1:14" x14ac:dyDescent="0.3">
      <c r="A14">
        <v>1013</v>
      </c>
      <c r="B14" s="1">
        <v>45714</v>
      </c>
      <c r="C14" t="s">
        <v>22</v>
      </c>
      <c r="D14" t="s">
        <v>27</v>
      </c>
      <c r="E14" t="s">
        <v>14</v>
      </c>
      <c r="F14" t="s">
        <v>15</v>
      </c>
      <c r="G14" t="s">
        <v>20</v>
      </c>
      <c r="H14" t="s">
        <v>21</v>
      </c>
      <c r="I14">
        <v>24508</v>
      </c>
      <c r="J14">
        <v>3</v>
      </c>
      <c r="K14">
        <v>5</v>
      </c>
      <c r="L14">
        <v>69847</v>
      </c>
      <c r="M14">
        <f t="shared" si="0"/>
        <v>2025</v>
      </c>
      <c r="N14">
        <f t="shared" si="1"/>
        <v>2</v>
      </c>
    </row>
    <row r="15" spans="1:14" x14ac:dyDescent="0.3">
      <c r="A15">
        <v>1014</v>
      </c>
      <c r="B15" s="1">
        <v>45714</v>
      </c>
      <c r="C15" t="s">
        <v>12</v>
      </c>
      <c r="D15" t="s">
        <v>13</v>
      </c>
      <c r="E15" t="s">
        <v>14</v>
      </c>
      <c r="F15" t="s">
        <v>25</v>
      </c>
      <c r="G15" t="s">
        <v>26</v>
      </c>
      <c r="H15" t="s">
        <v>21</v>
      </c>
      <c r="I15">
        <v>21374</v>
      </c>
      <c r="J15">
        <v>1</v>
      </c>
      <c r="K15">
        <v>0</v>
      </c>
      <c r="L15">
        <v>21374</v>
      </c>
      <c r="M15">
        <f t="shared" si="0"/>
        <v>2025</v>
      </c>
      <c r="N15">
        <f t="shared" si="1"/>
        <v>2</v>
      </c>
    </row>
    <row r="16" spans="1:14" x14ac:dyDescent="0.3">
      <c r="A16">
        <v>1015</v>
      </c>
      <c r="B16" s="1">
        <v>45718</v>
      </c>
      <c r="C16" t="s">
        <v>31</v>
      </c>
      <c r="D16" t="s">
        <v>32</v>
      </c>
      <c r="E16" t="s">
        <v>14</v>
      </c>
      <c r="F16" t="s">
        <v>25</v>
      </c>
      <c r="G16" t="s">
        <v>26</v>
      </c>
      <c r="H16" t="s">
        <v>21</v>
      </c>
      <c r="I16">
        <v>26501</v>
      </c>
      <c r="J16">
        <v>1</v>
      </c>
      <c r="K16">
        <v>15</v>
      </c>
      <c r="L16">
        <v>22525</v>
      </c>
      <c r="M16">
        <f t="shared" si="0"/>
        <v>2025</v>
      </c>
      <c r="N16">
        <f t="shared" si="1"/>
        <v>3</v>
      </c>
    </row>
    <row r="17" spans="1:14" x14ac:dyDescent="0.3">
      <c r="A17">
        <v>1016</v>
      </c>
      <c r="B17" s="1">
        <v>45664</v>
      </c>
      <c r="C17" t="s">
        <v>22</v>
      </c>
      <c r="D17" t="s">
        <v>23</v>
      </c>
      <c r="E17" t="s">
        <v>14</v>
      </c>
      <c r="F17" t="s">
        <v>25</v>
      </c>
      <c r="G17" t="s">
        <v>19</v>
      </c>
      <c r="H17" t="s">
        <v>17</v>
      </c>
      <c r="I17">
        <v>24198</v>
      </c>
      <c r="J17">
        <v>3</v>
      </c>
      <c r="K17">
        <v>15</v>
      </c>
      <c r="L17">
        <v>61704</v>
      </c>
      <c r="M17">
        <f t="shared" si="0"/>
        <v>2025</v>
      </c>
      <c r="N17">
        <f t="shared" si="1"/>
        <v>1</v>
      </c>
    </row>
    <row r="18" spans="1:14" x14ac:dyDescent="0.3">
      <c r="A18">
        <v>1017</v>
      </c>
      <c r="B18" s="1">
        <v>45659</v>
      </c>
      <c r="C18" t="s">
        <v>22</v>
      </c>
      <c r="D18" t="s">
        <v>27</v>
      </c>
      <c r="E18" t="s">
        <v>14</v>
      </c>
      <c r="F18" t="s">
        <v>18</v>
      </c>
      <c r="G18" t="s">
        <v>26</v>
      </c>
      <c r="H18" t="s">
        <v>17</v>
      </c>
      <c r="I18">
        <v>56757</v>
      </c>
      <c r="J18">
        <v>2</v>
      </c>
      <c r="K18">
        <v>0</v>
      </c>
      <c r="L18">
        <v>113514</v>
      </c>
      <c r="M18">
        <f t="shared" si="0"/>
        <v>2025</v>
      </c>
      <c r="N18">
        <f t="shared" si="1"/>
        <v>1</v>
      </c>
    </row>
    <row r="19" spans="1:14" x14ac:dyDescent="0.3">
      <c r="A19">
        <v>1018</v>
      </c>
      <c r="B19" s="1">
        <v>45663</v>
      </c>
      <c r="C19" t="s">
        <v>31</v>
      </c>
      <c r="D19" t="s">
        <v>33</v>
      </c>
      <c r="E19" t="s">
        <v>14</v>
      </c>
      <c r="F19" t="s">
        <v>25</v>
      </c>
      <c r="G19" t="s">
        <v>20</v>
      </c>
      <c r="H19" t="s">
        <v>21</v>
      </c>
      <c r="I19">
        <v>26129</v>
      </c>
      <c r="J19">
        <v>3</v>
      </c>
      <c r="K19">
        <v>15</v>
      </c>
      <c r="L19">
        <v>66628</v>
      </c>
      <c r="M19">
        <f t="shared" si="0"/>
        <v>2025</v>
      </c>
      <c r="N19">
        <f t="shared" si="1"/>
        <v>1</v>
      </c>
    </row>
    <row r="20" spans="1:14" x14ac:dyDescent="0.3">
      <c r="A20">
        <v>1019</v>
      </c>
      <c r="B20" s="1">
        <v>45668</v>
      </c>
      <c r="C20" t="s">
        <v>22</v>
      </c>
      <c r="D20" t="s">
        <v>27</v>
      </c>
      <c r="E20" t="s">
        <v>14</v>
      </c>
      <c r="F20" t="s">
        <v>18</v>
      </c>
      <c r="G20" t="s">
        <v>16</v>
      </c>
      <c r="H20" t="s">
        <v>17</v>
      </c>
      <c r="I20">
        <v>63513</v>
      </c>
      <c r="J20">
        <v>3</v>
      </c>
      <c r="K20">
        <v>15</v>
      </c>
      <c r="L20">
        <v>161958</v>
      </c>
      <c r="M20">
        <f t="shared" si="0"/>
        <v>2025</v>
      </c>
      <c r="N20">
        <f t="shared" si="1"/>
        <v>1</v>
      </c>
    </row>
    <row r="21" spans="1:14" x14ac:dyDescent="0.3">
      <c r="A21">
        <v>1020</v>
      </c>
      <c r="B21" s="1">
        <v>45704</v>
      </c>
      <c r="C21" t="s">
        <v>22</v>
      </c>
      <c r="D21" t="s">
        <v>23</v>
      </c>
      <c r="E21" t="s">
        <v>14</v>
      </c>
      <c r="F21" t="s">
        <v>15</v>
      </c>
      <c r="G21" t="s">
        <v>16</v>
      </c>
      <c r="H21" t="s">
        <v>17</v>
      </c>
      <c r="I21">
        <v>19704</v>
      </c>
      <c r="J21">
        <v>2</v>
      </c>
      <c r="K21">
        <v>5</v>
      </c>
      <c r="L21">
        <v>37437</v>
      </c>
      <c r="M21">
        <f t="shared" si="0"/>
        <v>2025</v>
      </c>
      <c r="N21">
        <f t="shared" si="1"/>
        <v>2</v>
      </c>
    </row>
    <row r="22" spans="1:14" x14ac:dyDescent="0.3">
      <c r="A22">
        <v>1021</v>
      </c>
      <c r="B22" s="1">
        <v>45699</v>
      </c>
      <c r="C22" t="s">
        <v>22</v>
      </c>
      <c r="D22" t="s">
        <v>23</v>
      </c>
      <c r="E22" t="s">
        <v>14</v>
      </c>
      <c r="F22" t="s">
        <v>18</v>
      </c>
      <c r="G22" t="s">
        <v>19</v>
      </c>
      <c r="H22" t="s">
        <v>21</v>
      </c>
      <c r="I22">
        <v>62149</v>
      </c>
      <c r="J22">
        <v>2</v>
      </c>
      <c r="K22">
        <v>5</v>
      </c>
      <c r="L22">
        <v>118083</v>
      </c>
      <c r="M22">
        <f t="shared" si="0"/>
        <v>2025</v>
      </c>
      <c r="N22">
        <f t="shared" si="1"/>
        <v>2</v>
      </c>
    </row>
    <row r="23" spans="1:14" x14ac:dyDescent="0.3">
      <c r="A23">
        <v>1022</v>
      </c>
      <c r="B23" s="1">
        <v>45668</v>
      </c>
      <c r="C23" t="s">
        <v>31</v>
      </c>
      <c r="D23" t="s">
        <v>32</v>
      </c>
      <c r="E23" t="s">
        <v>14</v>
      </c>
      <c r="F23" t="s">
        <v>15</v>
      </c>
      <c r="G23" t="s">
        <v>26</v>
      </c>
      <c r="H23" t="s">
        <v>21</v>
      </c>
      <c r="I23">
        <v>19243</v>
      </c>
      <c r="J23">
        <v>3</v>
      </c>
      <c r="K23">
        <v>10</v>
      </c>
      <c r="L23">
        <v>51956</v>
      </c>
      <c r="M23">
        <f t="shared" si="0"/>
        <v>2025</v>
      </c>
      <c r="N23">
        <f t="shared" si="1"/>
        <v>1</v>
      </c>
    </row>
    <row r="24" spans="1:14" x14ac:dyDescent="0.3">
      <c r="A24">
        <v>1023</v>
      </c>
      <c r="B24" s="1">
        <v>45689</v>
      </c>
      <c r="C24" t="s">
        <v>31</v>
      </c>
      <c r="D24" t="s">
        <v>33</v>
      </c>
      <c r="E24" t="s">
        <v>14</v>
      </c>
      <c r="F24" t="s">
        <v>18</v>
      </c>
      <c r="G24" t="s">
        <v>16</v>
      </c>
      <c r="H24" t="s">
        <v>17</v>
      </c>
      <c r="I24">
        <v>57407</v>
      </c>
      <c r="J24">
        <v>2</v>
      </c>
      <c r="K24">
        <v>0</v>
      </c>
      <c r="L24">
        <v>114814</v>
      </c>
      <c r="M24">
        <f t="shared" si="0"/>
        <v>2025</v>
      </c>
      <c r="N24">
        <f t="shared" si="1"/>
        <v>2</v>
      </c>
    </row>
    <row r="25" spans="1:14" x14ac:dyDescent="0.3">
      <c r="A25">
        <v>1024</v>
      </c>
      <c r="B25" s="1">
        <v>45688</v>
      </c>
      <c r="C25" t="s">
        <v>12</v>
      </c>
      <c r="D25" t="s">
        <v>24</v>
      </c>
      <c r="E25" t="s">
        <v>14</v>
      </c>
      <c r="F25" t="s">
        <v>25</v>
      </c>
      <c r="G25" t="s">
        <v>19</v>
      </c>
      <c r="H25" t="s">
        <v>21</v>
      </c>
      <c r="I25">
        <v>29198</v>
      </c>
      <c r="J25">
        <v>2</v>
      </c>
      <c r="K25">
        <v>5</v>
      </c>
      <c r="L25">
        <v>55476</v>
      </c>
      <c r="M25">
        <f t="shared" si="0"/>
        <v>2025</v>
      </c>
      <c r="N25">
        <f t="shared" si="1"/>
        <v>1</v>
      </c>
    </row>
    <row r="26" spans="1:14" x14ac:dyDescent="0.3">
      <c r="A26">
        <v>1025</v>
      </c>
      <c r="B26" s="1">
        <v>45665</v>
      </c>
      <c r="C26" t="s">
        <v>31</v>
      </c>
      <c r="D26" t="s">
        <v>33</v>
      </c>
      <c r="E26" t="s">
        <v>14</v>
      </c>
      <c r="F26" t="s">
        <v>25</v>
      </c>
      <c r="G26" t="s">
        <v>20</v>
      </c>
      <c r="H26" t="s">
        <v>17</v>
      </c>
      <c r="I26">
        <v>27523</v>
      </c>
      <c r="J26">
        <v>3</v>
      </c>
      <c r="K26">
        <v>0</v>
      </c>
      <c r="L26">
        <v>82569</v>
      </c>
      <c r="M26">
        <f t="shared" si="0"/>
        <v>2025</v>
      </c>
      <c r="N26">
        <f t="shared" si="1"/>
        <v>1</v>
      </c>
    </row>
    <row r="27" spans="1:14" x14ac:dyDescent="0.3">
      <c r="A27">
        <v>1026</v>
      </c>
      <c r="B27" s="1">
        <v>45708</v>
      </c>
      <c r="C27" t="s">
        <v>28</v>
      </c>
      <c r="D27" t="s">
        <v>34</v>
      </c>
      <c r="E27" t="s">
        <v>14</v>
      </c>
      <c r="F27" t="s">
        <v>18</v>
      </c>
      <c r="G27" t="s">
        <v>19</v>
      </c>
      <c r="H27" t="s">
        <v>21</v>
      </c>
      <c r="I27">
        <v>62550</v>
      </c>
      <c r="J27">
        <v>3</v>
      </c>
      <c r="K27">
        <v>0</v>
      </c>
      <c r="L27">
        <v>187650</v>
      </c>
      <c r="M27">
        <f t="shared" si="0"/>
        <v>2025</v>
      </c>
      <c r="N27">
        <f t="shared" si="1"/>
        <v>2</v>
      </c>
    </row>
    <row r="28" spans="1:14" x14ac:dyDescent="0.3">
      <c r="A28">
        <v>1027</v>
      </c>
      <c r="B28" s="1">
        <v>45716</v>
      </c>
      <c r="C28" t="s">
        <v>12</v>
      </c>
      <c r="D28" t="s">
        <v>13</v>
      </c>
      <c r="E28" t="s">
        <v>14</v>
      </c>
      <c r="F28" t="s">
        <v>25</v>
      </c>
      <c r="G28" t="s">
        <v>26</v>
      </c>
      <c r="H28" t="s">
        <v>21</v>
      </c>
      <c r="I28">
        <v>21767</v>
      </c>
      <c r="J28">
        <v>2</v>
      </c>
      <c r="K28">
        <v>5</v>
      </c>
      <c r="L28">
        <v>41357</v>
      </c>
      <c r="M28">
        <f t="shared" si="0"/>
        <v>2025</v>
      </c>
      <c r="N28">
        <f t="shared" si="1"/>
        <v>2</v>
      </c>
    </row>
    <row r="29" spans="1:14" x14ac:dyDescent="0.3">
      <c r="A29">
        <v>1028</v>
      </c>
      <c r="B29" s="1">
        <v>45703</v>
      </c>
      <c r="C29" t="s">
        <v>22</v>
      </c>
      <c r="D29" t="s">
        <v>27</v>
      </c>
      <c r="E29" t="s">
        <v>14</v>
      </c>
      <c r="F29" t="s">
        <v>25</v>
      </c>
      <c r="G29" t="s">
        <v>16</v>
      </c>
      <c r="H29" t="s">
        <v>21</v>
      </c>
      <c r="I29">
        <v>21904</v>
      </c>
      <c r="J29">
        <v>1</v>
      </c>
      <c r="K29">
        <v>15</v>
      </c>
      <c r="L29">
        <v>18618</v>
      </c>
      <c r="M29">
        <f t="shared" si="0"/>
        <v>2025</v>
      </c>
      <c r="N29">
        <f t="shared" si="1"/>
        <v>2</v>
      </c>
    </row>
    <row r="30" spans="1:14" x14ac:dyDescent="0.3">
      <c r="A30">
        <v>1029</v>
      </c>
      <c r="B30" s="1">
        <v>45709</v>
      </c>
      <c r="C30" t="s">
        <v>12</v>
      </c>
      <c r="D30" t="s">
        <v>13</v>
      </c>
      <c r="E30" t="s">
        <v>14</v>
      </c>
      <c r="F30" t="s">
        <v>15</v>
      </c>
      <c r="G30" t="s">
        <v>19</v>
      </c>
      <c r="H30" t="s">
        <v>21</v>
      </c>
      <c r="I30">
        <v>20809</v>
      </c>
      <c r="J30">
        <v>3</v>
      </c>
      <c r="K30">
        <v>0</v>
      </c>
      <c r="L30">
        <v>62427</v>
      </c>
      <c r="M30">
        <f t="shared" si="0"/>
        <v>2025</v>
      </c>
      <c r="N30">
        <f t="shared" si="1"/>
        <v>2</v>
      </c>
    </row>
    <row r="31" spans="1:14" x14ac:dyDescent="0.3">
      <c r="A31">
        <v>1030</v>
      </c>
      <c r="B31" s="1">
        <v>45715</v>
      </c>
      <c r="C31" t="s">
        <v>28</v>
      </c>
      <c r="D31" t="s">
        <v>34</v>
      </c>
      <c r="E31" t="s">
        <v>14</v>
      </c>
      <c r="F31" t="s">
        <v>25</v>
      </c>
      <c r="G31" t="s">
        <v>20</v>
      </c>
      <c r="H31" t="s">
        <v>21</v>
      </c>
      <c r="I31">
        <v>20851</v>
      </c>
      <c r="J31">
        <v>2</v>
      </c>
      <c r="K31">
        <v>5</v>
      </c>
      <c r="L31">
        <v>39616</v>
      </c>
      <c r="M31">
        <f t="shared" si="0"/>
        <v>2025</v>
      </c>
      <c r="N31">
        <f t="shared" si="1"/>
        <v>2</v>
      </c>
    </row>
    <row r="32" spans="1:14" x14ac:dyDescent="0.3">
      <c r="A32">
        <v>1031</v>
      </c>
      <c r="B32" s="1">
        <v>45664</v>
      </c>
      <c r="C32" t="s">
        <v>28</v>
      </c>
      <c r="D32" t="s">
        <v>34</v>
      </c>
      <c r="E32" t="s">
        <v>14</v>
      </c>
      <c r="F32" t="s">
        <v>15</v>
      </c>
      <c r="G32" t="s">
        <v>26</v>
      </c>
      <c r="H32" t="s">
        <v>21</v>
      </c>
      <c r="I32">
        <v>22806</v>
      </c>
      <c r="J32">
        <v>1</v>
      </c>
      <c r="K32">
        <v>10</v>
      </c>
      <c r="L32">
        <v>20525</v>
      </c>
      <c r="M32">
        <f t="shared" si="0"/>
        <v>2025</v>
      </c>
      <c r="N32">
        <f t="shared" si="1"/>
        <v>1</v>
      </c>
    </row>
    <row r="33" spans="1:14" x14ac:dyDescent="0.3">
      <c r="A33">
        <v>1032</v>
      </c>
      <c r="B33" s="1">
        <v>45682</v>
      </c>
      <c r="C33" t="s">
        <v>28</v>
      </c>
      <c r="D33" t="s">
        <v>29</v>
      </c>
      <c r="E33" t="s">
        <v>14</v>
      </c>
      <c r="F33" t="s">
        <v>25</v>
      </c>
      <c r="G33" t="s">
        <v>16</v>
      </c>
      <c r="H33" t="s">
        <v>21</v>
      </c>
      <c r="I33">
        <v>21036</v>
      </c>
      <c r="J33">
        <v>2</v>
      </c>
      <c r="K33">
        <v>0</v>
      </c>
      <c r="L33">
        <v>42072</v>
      </c>
      <c r="M33">
        <f t="shared" si="0"/>
        <v>2025</v>
      </c>
      <c r="N33">
        <f t="shared" si="1"/>
        <v>1</v>
      </c>
    </row>
    <row r="34" spans="1:14" x14ac:dyDescent="0.3">
      <c r="A34">
        <v>1033</v>
      </c>
      <c r="B34" s="1">
        <v>45701</v>
      </c>
      <c r="C34" t="s">
        <v>28</v>
      </c>
      <c r="D34" t="s">
        <v>30</v>
      </c>
      <c r="E34" t="s">
        <v>14</v>
      </c>
      <c r="F34" t="s">
        <v>25</v>
      </c>
      <c r="G34" t="s">
        <v>20</v>
      </c>
      <c r="H34" t="s">
        <v>17</v>
      </c>
      <c r="I34">
        <v>24683</v>
      </c>
      <c r="J34">
        <v>3</v>
      </c>
      <c r="K34">
        <v>5</v>
      </c>
      <c r="L34">
        <v>70346</v>
      </c>
      <c r="M34">
        <f t="shared" si="0"/>
        <v>2025</v>
      </c>
      <c r="N34">
        <f t="shared" si="1"/>
        <v>2</v>
      </c>
    </row>
    <row r="35" spans="1:14" x14ac:dyDescent="0.3">
      <c r="A35">
        <v>1034</v>
      </c>
      <c r="B35" s="1">
        <v>45702</v>
      </c>
      <c r="C35" t="s">
        <v>31</v>
      </c>
      <c r="D35" t="s">
        <v>32</v>
      </c>
      <c r="E35" t="s">
        <v>14</v>
      </c>
      <c r="F35" t="s">
        <v>25</v>
      </c>
      <c r="G35" t="s">
        <v>26</v>
      </c>
      <c r="H35" t="s">
        <v>21</v>
      </c>
      <c r="I35">
        <v>26599</v>
      </c>
      <c r="J35">
        <v>1</v>
      </c>
      <c r="K35">
        <v>5</v>
      </c>
      <c r="L35">
        <v>25269</v>
      </c>
      <c r="M35">
        <f t="shared" si="0"/>
        <v>2025</v>
      </c>
      <c r="N35">
        <f t="shared" si="1"/>
        <v>2</v>
      </c>
    </row>
    <row r="36" spans="1:14" x14ac:dyDescent="0.3">
      <c r="A36">
        <v>1035</v>
      </c>
      <c r="B36" s="1">
        <v>45698</v>
      </c>
      <c r="C36" t="s">
        <v>31</v>
      </c>
      <c r="D36" t="s">
        <v>33</v>
      </c>
      <c r="E36" t="s">
        <v>14</v>
      </c>
      <c r="F36" t="s">
        <v>25</v>
      </c>
      <c r="G36" t="s">
        <v>16</v>
      </c>
      <c r="H36" t="s">
        <v>21</v>
      </c>
      <c r="I36">
        <v>27148</v>
      </c>
      <c r="J36">
        <v>2</v>
      </c>
      <c r="K36">
        <v>0</v>
      </c>
      <c r="L36">
        <v>54296</v>
      </c>
      <c r="M36">
        <f t="shared" si="0"/>
        <v>2025</v>
      </c>
      <c r="N36">
        <f t="shared" si="1"/>
        <v>2</v>
      </c>
    </row>
    <row r="37" spans="1:14" x14ac:dyDescent="0.3">
      <c r="A37">
        <v>1036</v>
      </c>
      <c r="B37" s="1">
        <v>45667</v>
      </c>
      <c r="C37" t="s">
        <v>28</v>
      </c>
      <c r="D37" t="s">
        <v>30</v>
      </c>
      <c r="E37" t="s">
        <v>14</v>
      </c>
      <c r="F37" t="s">
        <v>15</v>
      </c>
      <c r="G37" t="s">
        <v>19</v>
      </c>
      <c r="H37" t="s">
        <v>21</v>
      </c>
      <c r="I37">
        <v>24872</v>
      </c>
      <c r="J37">
        <v>1</v>
      </c>
      <c r="K37">
        <v>0</v>
      </c>
      <c r="L37">
        <v>24872</v>
      </c>
      <c r="M37">
        <f t="shared" si="0"/>
        <v>2025</v>
      </c>
      <c r="N37">
        <f t="shared" si="1"/>
        <v>1</v>
      </c>
    </row>
    <row r="38" spans="1:14" x14ac:dyDescent="0.3">
      <c r="A38">
        <v>1037</v>
      </c>
      <c r="B38" s="1">
        <v>45670</v>
      </c>
      <c r="C38" t="s">
        <v>28</v>
      </c>
      <c r="D38" t="s">
        <v>34</v>
      </c>
      <c r="E38" t="s">
        <v>14</v>
      </c>
      <c r="F38" t="s">
        <v>15</v>
      </c>
      <c r="G38" t="s">
        <v>26</v>
      </c>
      <c r="H38" t="s">
        <v>21</v>
      </c>
      <c r="I38">
        <v>23732</v>
      </c>
      <c r="J38">
        <v>2</v>
      </c>
      <c r="K38">
        <v>10</v>
      </c>
      <c r="L38">
        <v>42717</v>
      </c>
      <c r="M38">
        <f t="shared" si="0"/>
        <v>2025</v>
      </c>
      <c r="N38">
        <f t="shared" si="1"/>
        <v>1</v>
      </c>
    </row>
    <row r="39" spans="1:14" x14ac:dyDescent="0.3">
      <c r="A39">
        <v>1038</v>
      </c>
      <c r="B39" s="1">
        <v>45705</v>
      </c>
      <c r="C39" t="s">
        <v>31</v>
      </c>
      <c r="D39" t="s">
        <v>32</v>
      </c>
      <c r="E39" t="s">
        <v>14</v>
      </c>
      <c r="F39" t="s">
        <v>18</v>
      </c>
      <c r="G39" t="s">
        <v>20</v>
      </c>
      <c r="H39" t="s">
        <v>17</v>
      </c>
      <c r="I39">
        <v>58822</v>
      </c>
      <c r="J39">
        <v>2</v>
      </c>
      <c r="K39">
        <v>0</v>
      </c>
      <c r="L39">
        <v>117644</v>
      </c>
      <c r="M39">
        <f t="shared" si="0"/>
        <v>2025</v>
      </c>
      <c r="N39">
        <f t="shared" si="1"/>
        <v>2</v>
      </c>
    </row>
    <row r="40" spans="1:14" x14ac:dyDescent="0.3">
      <c r="A40">
        <v>1039</v>
      </c>
      <c r="B40" s="1">
        <v>45670</v>
      </c>
      <c r="C40" t="s">
        <v>31</v>
      </c>
      <c r="D40" t="s">
        <v>33</v>
      </c>
      <c r="E40" t="s">
        <v>14</v>
      </c>
      <c r="F40" t="s">
        <v>25</v>
      </c>
      <c r="G40" t="s">
        <v>19</v>
      </c>
      <c r="H40" t="s">
        <v>21</v>
      </c>
      <c r="I40">
        <v>28183</v>
      </c>
      <c r="J40">
        <v>3</v>
      </c>
      <c r="K40">
        <v>0</v>
      </c>
      <c r="L40">
        <v>84549</v>
      </c>
      <c r="M40">
        <f t="shared" si="0"/>
        <v>2025</v>
      </c>
      <c r="N40">
        <f t="shared" si="1"/>
        <v>1</v>
      </c>
    </row>
    <row r="41" spans="1:14" x14ac:dyDescent="0.3">
      <c r="A41">
        <v>1040</v>
      </c>
      <c r="B41" s="1">
        <v>45667</v>
      </c>
      <c r="C41" t="s">
        <v>28</v>
      </c>
      <c r="D41" t="s">
        <v>30</v>
      </c>
      <c r="E41" t="s">
        <v>14</v>
      </c>
      <c r="F41" t="s">
        <v>25</v>
      </c>
      <c r="G41" t="s">
        <v>26</v>
      </c>
      <c r="H41" t="s">
        <v>21</v>
      </c>
      <c r="I41">
        <v>25493</v>
      </c>
      <c r="J41">
        <v>3</v>
      </c>
      <c r="K41">
        <v>0</v>
      </c>
      <c r="L41">
        <v>76479</v>
      </c>
      <c r="M41">
        <f t="shared" si="0"/>
        <v>2025</v>
      </c>
      <c r="N41">
        <f t="shared" si="1"/>
        <v>1</v>
      </c>
    </row>
    <row r="42" spans="1:14" x14ac:dyDescent="0.3">
      <c r="A42">
        <v>1041</v>
      </c>
      <c r="B42" s="1">
        <v>45673</v>
      </c>
      <c r="C42" t="s">
        <v>28</v>
      </c>
      <c r="D42" t="s">
        <v>34</v>
      </c>
      <c r="E42" t="s">
        <v>14</v>
      </c>
      <c r="F42" t="s">
        <v>25</v>
      </c>
      <c r="G42" t="s">
        <v>20</v>
      </c>
      <c r="H42" t="s">
        <v>21</v>
      </c>
      <c r="I42">
        <v>20756</v>
      </c>
      <c r="J42">
        <v>1</v>
      </c>
      <c r="K42">
        <v>10</v>
      </c>
      <c r="L42">
        <v>18680</v>
      </c>
      <c r="M42">
        <f t="shared" si="0"/>
        <v>2025</v>
      </c>
      <c r="N42">
        <f t="shared" si="1"/>
        <v>1</v>
      </c>
    </row>
    <row r="43" spans="1:14" x14ac:dyDescent="0.3">
      <c r="A43">
        <v>1042</v>
      </c>
      <c r="B43" s="1">
        <v>45706</v>
      </c>
      <c r="C43" t="s">
        <v>28</v>
      </c>
      <c r="D43" t="s">
        <v>30</v>
      </c>
      <c r="E43" t="s">
        <v>14</v>
      </c>
      <c r="F43" t="s">
        <v>15</v>
      </c>
      <c r="G43" t="s">
        <v>20</v>
      </c>
      <c r="H43" t="s">
        <v>21</v>
      </c>
      <c r="I43">
        <v>24707</v>
      </c>
      <c r="J43">
        <v>3</v>
      </c>
      <c r="K43">
        <v>10</v>
      </c>
      <c r="L43">
        <v>66708</v>
      </c>
      <c r="M43">
        <f t="shared" si="0"/>
        <v>2025</v>
      </c>
      <c r="N43">
        <f t="shared" si="1"/>
        <v>2</v>
      </c>
    </row>
    <row r="44" spans="1:14" x14ac:dyDescent="0.3">
      <c r="A44">
        <v>1043</v>
      </c>
      <c r="B44" s="1">
        <v>45658</v>
      </c>
      <c r="C44" t="s">
        <v>22</v>
      </c>
      <c r="D44" t="s">
        <v>23</v>
      </c>
      <c r="E44" t="s">
        <v>14</v>
      </c>
      <c r="F44" t="s">
        <v>18</v>
      </c>
      <c r="G44" t="s">
        <v>16</v>
      </c>
      <c r="H44" t="s">
        <v>21</v>
      </c>
      <c r="I44">
        <v>62166</v>
      </c>
      <c r="J44">
        <v>1</v>
      </c>
      <c r="K44">
        <v>5</v>
      </c>
      <c r="L44">
        <v>59057</v>
      </c>
      <c r="M44">
        <f t="shared" si="0"/>
        <v>2025</v>
      </c>
      <c r="N44">
        <f t="shared" si="1"/>
        <v>1</v>
      </c>
    </row>
    <row r="45" spans="1:14" x14ac:dyDescent="0.3">
      <c r="A45">
        <v>1044</v>
      </c>
      <c r="B45" s="1">
        <v>45683</v>
      </c>
      <c r="C45" t="s">
        <v>22</v>
      </c>
      <c r="D45" t="s">
        <v>27</v>
      </c>
      <c r="E45" t="s">
        <v>14</v>
      </c>
      <c r="F45" t="s">
        <v>15</v>
      </c>
      <c r="G45" t="s">
        <v>26</v>
      </c>
      <c r="H45" t="s">
        <v>21</v>
      </c>
      <c r="I45">
        <v>18551</v>
      </c>
      <c r="J45">
        <v>1</v>
      </c>
      <c r="K45">
        <v>0</v>
      </c>
      <c r="L45">
        <v>18551</v>
      </c>
      <c r="M45">
        <f t="shared" si="0"/>
        <v>2025</v>
      </c>
      <c r="N45">
        <f t="shared" si="1"/>
        <v>1</v>
      </c>
    </row>
    <row r="46" spans="1:14" x14ac:dyDescent="0.3">
      <c r="A46">
        <v>1045</v>
      </c>
      <c r="B46" s="1">
        <v>45717</v>
      </c>
      <c r="C46" t="s">
        <v>31</v>
      </c>
      <c r="D46" t="s">
        <v>32</v>
      </c>
      <c r="E46" t="s">
        <v>14</v>
      </c>
      <c r="F46" t="s">
        <v>25</v>
      </c>
      <c r="G46" t="s">
        <v>20</v>
      </c>
      <c r="H46" t="s">
        <v>21</v>
      </c>
      <c r="I46">
        <v>29469</v>
      </c>
      <c r="J46">
        <v>3</v>
      </c>
      <c r="K46">
        <v>5</v>
      </c>
      <c r="L46">
        <v>83986</v>
      </c>
      <c r="M46">
        <f t="shared" si="0"/>
        <v>2025</v>
      </c>
      <c r="N46">
        <f t="shared" si="1"/>
        <v>3</v>
      </c>
    </row>
    <row r="47" spans="1:14" x14ac:dyDescent="0.3">
      <c r="A47">
        <v>1046</v>
      </c>
      <c r="B47" s="1">
        <v>45665</v>
      </c>
      <c r="C47" t="s">
        <v>22</v>
      </c>
      <c r="D47" t="s">
        <v>27</v>
      </c>
      <c r="E47" t="s">
        <v>14</v>
      </c>
      <c r="F47" t="s">
        <v>25</v>
      </c>
      <c r="G47" t="s">
        <v>20</v>
      </c>
      <c r="H47" t="s">
        <v>17</v>
      </c>
      <c r="I47">
        <v>21011</v>
      </c>
      <c r="J47">
        <v>1</v>
      </c>
      <c r="K47">
        <v>15</v>
      </c>
      <c r="L47">
        <v>17859</v>
      </c>
      <c r="M47">
        <f t="shared" si="0"/>
        <v>2025</v>
      </c>
      <c r="N47">
        <f t="shared" si="1"/>
        <v>1</v>
      </c>
    </row>
    <row r="48" spans="1:14" x14ac:dyDescent="0.3">
      <c r="A48">
        <v>1047</v>
      </c>
      <c r="B48" s="1">
        <v>45717</v>
      </c>
      <c r="C48" t="s">
        <v>22</v>
      </c>
      <c r="D48" t="s">
        <v>23</v>
      </c>
      <c r="E48" t="s">
        <v>14</v>
      </c>
      <c r="F48" t="s">
        <v>15</v>
      </c>
      <c r="G48" t="s">
        <v>16</v>
      </c>
      <c r="H48" t="s">
        <v>17</v>
      </c>
      <c r="I48">
        <v>22887</v>
      </c>
      <c r="J48">
        <v>1</v>
      </c>
      <c r="K48">
        <v>15</v>
      </c>
      <c r="L48">
        <v>19453</v>
      </c>
      <c r="M48">
        <f t="shared" si="0"/>
        <v>2025</v>
      </c>
      <c r="N48">
        <f t="shared" si="1"/>
        <v>3</v>
      </c>
    </row>
    <row r="49" spans="1:14" x14ac:dyDescent="0.3">
      <c r="A49">
        <v>1048</v>
      </c>
      <c r="B49" s="1">
        <v>45674</v>
      </c>
      <c r="C49" t="s">
        <v>31</v>
      </c>
      <c r="D49" t="s">
        <v>32</v>
      </c>
      <c r="E49" t="s">
        <v>14</v>
      </c>
      <c r="F49" t="s">
        <v>25</v>
      </c>
      <c r="G49" t="s">
        <v>26</v>
      </c>
      <c r="H49" t="s">
        <v>17</v>
      </c>
      <c r="I49">
        <v>29951</v>
      </c>
      <c r="J49">
        <v>1</v>
      </c>
      <c r="K49">
        <v>5</v>
      </c>
      <c r="L49">
        <v>28453</v>
      </c>
      <c r="M49">
        <f t="shared" si="0"/>
        <v>2025</v>
      </c>
      <c r="N49">
        <f t="shared" si="1"/>
        <v>1</v>
      </c>
    </row>
    <row r="50" spans="1:14" x14ac:dyDescent="0.3">
      <c r="A50">
        <v>1049</v>
      </c>
      <c r="B50" s="1">
        <v>45674</v>
      </c>
      <c r="C50" t="s">
        <v>22</v>
      </c>
      <c r="D50" t="s">
        <v>27</v>
      </c>
      <c r="E50" t="s">
        <v>14</v>
      </c>
      <c r="F50" t="s">
        <v>15</v>
      </c>
      <c r="G50" t="s">
        <v>20</v>
      </c>
      <c r="H50" t="s">
        <v>17</v>
      </c>
      <c r="I50">
        <v>23138</v>
      </c>
      <c r="J50">
        <v>3</v>
      </c>
      <c r="K50">
        <v>15</v>
      </c>
      <c r="L50">
        <v>59001</v>
      </c>
      <c r="M50">
        <f t="shared" si="0"/>
        <v>2025</v>
      </c>
      <c r="N50">
        <f t="shared" si="1"/>
        <v>1</v>
      </c>
    </row>
    <row r="51" spans="1:14" x14ac:dyDescent="0.3">
      <c r="A51">
        <v>1050</v>
      </c>
      <c r="B51" s="1">
        <v>45663</v>
      </c>
      <c r="C51" t="s">
        <v>22</v>
      </c>
      <c r="D51" t="s">
        <v>27</v>
      </c>
      <c r="E51" t="s">
        <v>14</v>
      </c>
      <c r="F51" t="s">
        <v>15</v>
      </c>
      <c r="G51" t="s">
        <v>26</v>
      </c>
      <c r="H51" t="s">
        <v>21</v>
      </c>
      <c r="I51">
        <v>19468</v>
      </c>
      <c r="J51">
        <v>1</v>
      </c>
      <c r="K51">
        <v>10</v>
      </c>
      <c r="L51">
        <v>17521</v>
      </c>
      <c r="M51">
        <f t="shared" si="0"/>
        <v>2025</v>
      </c>
      <c r="N51">
        <f t="shared" si="1"/>
        <v>1</v>
      </c>
    </row>
    <row r="52" spans="1:14" x14ac:dyDescent="0.3">
      <c r="A52">
        <v>1051</v>
      </c>
      <c r="B52" s="1">
        <v>45705</v>
      </c>
      <c r="C52" t="s">
        <v>12</v>
      </c>
      <c r="D52" t="s">
        <v>13</v>
      </c>
      <c r="E52" t="s">
        <v>14</v>
      </c>
      <c r="F52" t="s">
        <v>15</v>
      </c>
      <c r="G52" t="s">
        <v>19</v>
      </c>
      <c r="H52" t="s">
        <v>17</v>
      </c>
      <c r="I52">
        <v>18981</v>
      </c>
      <c r="J52">
        <v>3</v>
      </c>
      <c r="K52">
        <v>5</v>
      </c>
      <c r="L52">
        <v>54095</v>
      </c>
      <c r="M52">
        <f t="shared" si="0"/>
        <v>2025</v>
      </c>
      <c r="N52">
        <f t="shared" si="1"/>
        <v>2</v>
      </c>
    </row>
    <row r="53" spans="1:14" x14ac:dyDescent="0.3">
      <c r="A53">
        <v>1052</v>
      </c>
      <c r="B53" s="1">
        <v>45700</v>
      </c>
      <c r="C53" t="s">
        <v>22</v>
      </c>
      <c r="D53" t="s">
        <v>27</v>
      </c>
      <c r="E53" t="s">
        <v>14</v>
      </c>
      <c r="F53" t="s">
        <v>25</v>
      </c>
      <c r="G53" t="s">
        <v>26</v>
      </c>
      <c r="H53" t="s">
        <v>17</v>
      </c>
      <c r="I53">
        <v>25471</v>
      </c>
      <c r="J53">
        <v>1</v>
      </c>
      <c r="K53">
        <v>15</v>
      </c>
      <c r="L53">
        <v>21650</v>
      </c>
      <c r="M53">
        <f t="shared" si="0"/>
        <v>2025</v>
      </c>
      <c r="N53">
        <f t="shared" si="1"/>
        <v>2</v>
      </c>
    </row>
    <row r="54" spans="1:14" x14ac:dyDescent="0.3">
      <c r="A54">
        <v>1053</v>
      </c>
      <c r="B54" s="1">
        <v>45692</v>
      </c>
      <c r="C54" t="s">
        <v>22</v>
      </c>
      <c r="D54" t="s">
        <v>23</v>
      </c>
      <c r="E54" t="s">
        <v>14</v>
      </c>
      <c r="F54" t="s">
        <v>18</v>
      </c>
      <c r="G54" t="s">
        <v>26</v>
      </c>
      <c r="H54" t="s">
        <v>21</v>
      </c>
      <c r="I54">
        <v>63814</v>
      </c>
      <c r="J54">
        <v>2</v>
      </c>
      <c r="K54">
        <v>10</v>
      </c>
      <c r="L54">
        <v>114865</v>
      </c>
      <c r="M54">
        <f t="shared" si="0"/>
        <v>2025</v>
      </c>
      <c r="N54">
        <f t="shared" si="1"/>
        <v>2</v>
      </c>
    </row>
    <row r="55" spans="1:14" x14ac:dyDescent="0.3">
      <c r="A55">
        <v>1054</v>
      </c>
      <c r="B55" s="1">
        <v>45670</v>
      </c>
      <c r="C55" t="s">
        <v>31</v>
      </c>
      <c r="D55" t="s">
        <v>33</v>
      </c>
      <c r="E55" t="s">
        <v>14</v>
      </c>
      <c r="F55" t="s">
        <v>15</v>
      </c>
      <c r="G55" t="s">
        <v>20</v>
      </c>
      <c r="H55" t="s">
        <v>17</v>
      </c>
      <c r="I55">
        <v>23838</v>
      </c>
      <c r="J55">
        <v>3</v>
      </c>
      <c r="K55">
        <v>5</v>
      </c>
      <c r="L55">
        <v>67938</v>
      </c>
      <c r="M55">
        <f t="shared" si="0"/>
        <v>2025</v>
      </c>
      <c r="N55">
        <f t="shared" si="1"/>
        <v>1</v>
      </c>
    </row>
    <row r="56" spans="1:14" x14ac:dyDescent="0.3">
      <c r="A56">
        <v>1055</v>
      </c>
      <c r="B56" s="1">
        <v>45673</v>
      </c>
      <c r="C56" t="s">
        <v>12</v>
      </c>
      <c r="D56" t="s">
        <v>13</v>
      </c>
      <c r="E56" t="s">
        <v>14</v>
      </c>
      <c r="F56" t="s">
        <v>18</v>
      </c>
      <c r="G56" t="s">
        <v>20</v>
      </c>
      <c r="H56" t="s">
        <v>21</v>
      </c>
      <c r="I56">
        <v>61841</v>
      </c>
      <c r="J56">
        <v>3</v>
      </c>
      <c r="K56">
        <v>10</v>
      </c>
      <c r="L56">
        <v>166970</v>
      </c>
      <c r="M56">
        <f t="shared" si="0"/>
        <v>2025</v>
      </c>
      <c r="N56">
        <f t="shared" si="1"/>
        <v>1</v>
      </c>
    </row>
    <row r="57" spans="1:14" x14ac:dyDescent="0.3">
      <c r="A57">
        <v>1056</v>
      </c>
      <c r="B57" s="1">
        <v>45714</v>
      </c>
      <c r="C57" t="s">
        <v>22</v>
      </c>
      <c r="D57" t="s">
        <v>27</v>
      </c>
      <c r="E57" t="s">
        <v>14</v>
      </c>
      <c r="F57" t="s">
        <v>15</v>
      </c>
      <c r="G57" t="s">
        <v>20</v>
      </c>
      <c r="H57" t="s">
        <v>21</v>
      </c>
      <c r="I57">
        <v>23005</v>
      </c>
      <c r="J57">
        <v>1</v>
      </c>
      <c r="K57">
        <v>0</v>
      </c>
      <c r="L57">
        <v>23005</v>
      </c>
      <c r="M57">
        <f t="shared" si="0"/>
        <v>2025</v>
      </c>
      <c r="N57">
        <f t="shared" si="1"/>
        <v>2</v>
      </c>
    </row>
    <row r="58" spans="1:14" x14ac:dyDescent="0.3">
      <c r="A58">
        <v>1057</v>
      </c>
      <c r="B58" s="1">
        <v>45713</v>
      </c>
      <c r="C58" t="s">
        <v>31</v>
      </c>
      <c r="D58" t="s">
        <v>32</v>
      </c>
      <c r="E58" t="s">
        <v>14</v>
      </c>
      <c r="F58" t="s">
        <v>15</v>
      </c>
      <c r="G58" t="s">
        <v>20</v>
      </c>
      <c r="H58" t="s">
        <v>17</v>
      </c>
      <c r="I58">
        <v>19780</v>
      </c>
      <c r="J58">
        <v>3</v>
      </c>
      <c r="K58">
        <v>10</v>
      </c>
      <c r="L58">
        <v>53406</v>
      </c>
      <c r="M58">
        <f t="shared" si="0"/>
        <v>2025</v>
      </c>
      <c r="N58">
        <f t="shared" si="1"/>
        <v>2</v>
      </c>
    </row>
    <row r="59" spans="1:14" x14ac:dyDescent="0.3">
      <c r="A59">
        <v>1058</v>
      </c>
      <c r="B59" s="1">
        <v>45675</v>
      </c>
      <c r="C59" t="s">
        <v>12</v>
      </c>
      <c r="D59" t="s">
        <v>24</v>
      </c>
      <c r="E59" t="s">
        <v>14</v>
      </c>
      <c r="F59" t="s">
        <v>25</v>
      </c>
      <c r="G59" t="s">
        <v>19</v>
      </c>
      <c r="H59" t="s">
        <v>17</v>
      </c>
      <c r="I59">
        <v>28226</v>
      </c>
      <c r="J59">
        <v>2</v>
      </c>
      <c r="K59">
        <v>10</v>
      </c>
      <c r="L59">
        <v>50806</v>
      </c>
      <c r="M59">
        <f t="shared" si="0"/>
        <v>2025</v>
      </c>
      <c r="N59">
        <f t="shared" si="1"/>
        <v>1</v>
      </c>
    </row>
    <row r="60" spans="1:14" x14ac:dyDescent="0.3">
      <c r="A60">
        <v>1059</v>
      </c>
      <c r="B60" s="1">
        <v>45666</v>
      </c>
      <c r="C60" t="s">
        <v>28</v>
      </c>
      <c r="D60" t="s">
        <v>29</v>
      </c>
      <c r="E60" t="s">
        <v>14</v>
      </c>
      <c r="F60" t="s">
        <v>18</v>
      </c>
      <c r="G60" t="s">
        <v>20</v>
      </c>
      <c r="H60" t="s">
        <v>21</v>
      </c>
      <c r="I60">
        <v>61722</v>
      </c>
      <c r="J60">
        <v>1</v>
      </c>
      <c r="K60">
        <v>10</v>
      </c>
      <c r="L60">
        <v>55549</v>
      </c>
      <c r="M60">
        <f t="shared" si="0"/>
        <v>2025</v>
      </c>
      <c r="N60">
        <f t="shared" si="1"/>
        <v>1</v>
      </c>
    </row>
    <row r="61" spans="1:14" x14ac:dyDescent="0.3">
      <c r="A61">
        <v>1060</v>
      </c>
      <c r="B61" s="1">
        <v>45695</v>
      </c>
      <c r="C61" t="s">
        <v>22</v>
      </c>
      <c r="D61" t="s">
        <v>23</v>
      </c>
      <c r="E61" t="s">
        <v>14</v>
      </c>
      <c r="F61" t="s">
        <v>18</v>
      </c>
      <c r="G61" t="s">
        <v>19</v>
      </c>
      <c r="H61" t="s">
        <v>17</v>
      </c>
      <c r="I61">
        <v>63608</v>
      </c>
      <c r="J61">
        <v>1</v>
      </c>
      <c r="K61">
        <v>5</v>
      </c>
      <c r="L61">
        <v>60427</v>
      </c>
      <c r="M61">
        <f t="shared" si="0"/>
        <v>2025</v>
      </c>
      <c r="N61">
        <f t="shared" si="1"/>
        <v>2</v>
      </c>
    </row>
    <row r="62" spans="1:14" x14ac:dyDescent="0.3">
      <c r="A62">
        <v>1061</v>
      </c>
      <c r="B62" s="1">
        <v>45670</v>
      </c>
      <c r="C62" t="s">
        <v>12</v>
      </c>
      <c r="D62" t="s">
        <v>13</v>
      </c>
      <c r="E62" t="s">
        <v>14</v>
      </c>
      <c r="F62" t="s">
        <v>25</v>
      </c>
      <c r="G62" t="s">
        <v>26</v>
      </c>
      <c r="H62" t="s">
        <v>21</v>
      </c>
      <c r="I62">
        <v>23820</v>
      </c>
      <c r="J62">
        <v>3</v>
      </c>
      <c r="K62">
        <v>10</v>
      </c>
      <c r="L62">
        <v>64314</v>
      </c>
      <c r="M62">
        <f t="shared" si="0"/>
        <v>2025</v>
      </c>
      <c r="N62">
        <f t="shared" si="1"/>
        <v>1</v>
      </c>
    </row>
    <row r="63" spans="1:14" x14ac:dyDescent="0.3">
      <c r="A63">
        <v>1062</v>
      </c>
      <c r="B63" s="1">
        <v>45684</v>
      </c>
      <c r="C63" t="s">
        <v>12</v>
      </c>
      <c r="D63" t="s">
        <v>13</v>
      </c>
      <c r="E63" t="s">
        <v>14</v>
      </c>
      <c r="F63" t="s">
        <v>15</v>
      </c>
      <c r="G63" t="s">
        <v>26</v>
      </c>
      <c r="H63" t="s">
        <v>21</v>
      </c>
      <c r="I63">
        <v>21590</v>
      </c>
      <c r="J63">
        <v>1</v>
      </c>
      <c r="K63">
        <v>0</v>
      </c>
      <c r="L63">
        <v>21590</v>
      </c>
      <c r="M63">
        <f t="shared" si="0"/>
        <v>2025</v>
      </c>
      <c r="N63">
        <f t="shared" si="1"/>
        <v>1</v>
      </c>
    </row>
    <row r="64" spans="1:14" x14ac:dyDescent="0.3">
      <c r="A64">
        <v>1063</v>
      </c>
      <c r="B64" s="1">
        <v>45707</v>
      </c>
      <c r="C64" t="s">
        <v>31</v>
      </c>
      <c r="D64" t="s">
        <v>32</v>
      </c>
      <c r="E64" t="s">
        <v>14</v>
      </c>
      <c r="F64" t="s">
        <v>25</v>
      </c>
      <c r="G64" t="s">
        <v>16</v>
      </c>
      <c r="H64" t="s">
        <v>17</v>
      </c>
      <c r="I64">
        <v>28688</v>
      </c>
      <c r="J64">
        <v>2</v>
      </c>
      <c r="K64">
        <v>15</v>
      </c>
      <c r="L64">
        <v>48769</v>
      </c>
      <c r="M64">
        <f t="shared" si="0"/>
        <v>2025</v>
      </c>
      <c r="N64">
        <f t="shared" si="1"/>
        <v>2</v>
      </c>
    </row>
    <row r="65" spans="1:14" x14ac:dyDescent="0.3">
      <c r="A65">
        <v>1064</v>
      </c>
      <c r="B65" s="1">
        <v>45672</v>
      </c>
      <c r="C65" t="s">
        <v>31</v>
      </c>
      <c r="D65" t="s">
        <v>33</v>
      </c>
      <c r="E65" t="s">
        <v>14</v>
      </c>
      <c r="F65" t="s">
        <v>18</v>
      </c>
      <c r="G65" t="s">
        <v>19</v>
      </c>
      <c r="H65" t="s">
        <v>17</v>
      </c>
      <c r="I65">
        <v>60069</v>
      </c>
      <c r="J65">
        <v>2</v>
      </c>
      <c r="K65">
        <v>15</v>
      </c>
      <c r="L65">
        <v>102117</v>
      </c>
      <c r="M65">
        <f t="shared" si="0"/>
        <v>2025</v>
      </c>
      <c r="N65">
        <f t="shared" si="1"/>
        <v>1</v>
      </c>
    </row>
    <row r="66" spans="1:14" x14ac:dyDescent="0.3">
      <c r="A66">
        <v>1065</v>
      </c>
      <c r="B66" s="1">
        <v>45701</v>
      </c>
      <c r="C66" t="s">
        <v>12</v>
      </c>
      <c r="D66" t="s">
        <v>24</v>
      </c>
      <c r="E66" t="s">
        <v>14</v>
      </c>
      <c r="F66" t="s">
        <v>18</v>
      </c>
      <c r="G66" t="s">
        <v>20</v>
      </c>
      <c r="H66" t="s">
        <v>21</v>
      </c>
      <c r="I66">
        <v>55679</v>
      </c>
      <c r="J66">
        <v>2</v>
      </c>
      <c r="K66">
        <v>0</v>
      </c>
      <c r="L66">
        <v>111358</v>
      </c>
      <c r="M66">
        <f t="shared" si="0"/>
        <v>2025</v>
      </c>
      <c r="N66">
        <f t="shared" si="1"/>
        <v>2</v>
      </c>
    </row>
    <row r="67" spans="1:14" x14ac:dyDescent="0.3">
      <c r="A67">
        <v>1066</v>
      </c>
      <c r="B67" s="1">
        <v>45686</v>
      </c>
      <c r="C67" t="s">
        <v>31</v>
      </c>
      <c r="D67" t="s">
        <v>33</v>
      </c>
      <c r="E67" t="s">
        <v>14</v>
      </c>
      <c r="F67" t="s">
        <v>25</v>
      </c>
      <c r="G67" t="s">
        <v>20</v>
      </c>
      <c r="H67" t="s">
        <v>21</v>
      </c>
      <c r="I67">
        <v>26327</v>
      </c>
      <c r="J67">
        <v>1</v>
      </c>
      <c r="K67">
        <v>15</v>
      </c>
      <c r="L67">
        <v>22377</v>
      </c>
      <c r="M67">
        <f t="shared" ref="M67:M130" si="2">YEAR(B67)</f>
        <v>2025</v>
      </c>
      <c r="N67">
        <f t="shared" ref="N67:N130" si="3">MONTH(B67)</f>
        <v>1</v>
      </c>
    </row>
    <row r="68" spans="1:14" x14ac:dyDescent="0.3">
      <c r="A68">
        <v>1067</v>
      </c>
      <c r="B68" s="1">
        <v>45689</v>
      </c>
      <c r="C68" t="s">
        <v>28</v>
      </c>
      <c r="D68" t="s">
        <v>30</v>
      </c>
      <c r="E68" t="s">
        <v>14</v>
      </c>
      <c r="F68" t="s">
        <v>15</v>
      </c>
      <c r="G68" t="s">
        <v>16</v>
      </c>
      <c r="H68" t="s">
        <v>21</v>
      </c>
      <c r="I68">
        <v>19292</v>
      </c>
      <c r="J68">
        <v>3</v>
      </c>
      <c r="K68">
        <v>15</v>
      </c>
      <c r="L68">
        <v>49194</v>
      </c>
      <c r="M68">
        <f t="shared" si="2"/>
        <v>2025</v>
      </c>
      <c r="N68">
        <f t="shared" si="3"/>
        <v>2</v>
      </c>
    </row>
    <row r="69" spans="1:14" x14ac:dyDescent="0.3">
      <c r="A69">
        <v>1068</v>
      </c>
      <c r="B69" s="1">
        <v>45711</v>
      </c>
      <c r="C69" t="s">
        <v>22</v>
      </c>
      <c r="D69" t="s">
        <v>23</v>
      </c>
      <c r="E69" t="s">
        <v>14</v>
      </c>
      <c r="F69" t="s">
        <v>18</v>
      </c>
      <c r="G69" t="s">
        <v>16</v>
      </c>
      <c r="H69" t="s">
        <v>17</v>
      </c>
      <c r="I69">
        <v>62667</v>
      </c>
      <c r="J69">
        <v>3</v>
      </c>
      <c r="K69">
        <v>15</v>
      </c>
      <c r="L69">
        <v>159800</v>
      </c>
      <c r="M69">
        <f t="shared" si="2"/>
        <v>2025</v>
      </c>
      <c r="N69">
        <f t="shared" si="3"/>
        <v>2</v>
      </c>
    </row>
    <row r="70" spans="1:14" x14ac:dyDescent="0.3">
      <c r="A70">
        <v>1069</v>
      </c>
      <c r="B70" s="1">
        <v>45658</v>
      </c>
      <c r="C70" t="s">
        <v>22</v>
      </c>
      <c r="D70" t="s">
        <v>23</v>
      </c>
      <c r="E70" t="s">
        <v>14</v>
      </c>
      <c r="F70" t="s">
        <v>15</v>
      </c>
      <c r="G70" t="s">
        <v>16</v>
      </c>
      <c r="H70" t="s">
        <v>17</v>
      </c>
      <c r="I70">
        <v>18237</v>
      </c>
      <c r="J70">
        <v>1</v>
      </c>
      <c r="K70">
        <v>5</v>
      </c>
      <c r="L70">
        <v>17325</v>
      </c>
      <c r="M70">
        <f t="shared" si="2"/>
        <v>2025</v>
      </c>
      <c r="N70">
        <f t="shared" si="3"/>
        <v>1</v>
      </c>
    </row>
    <row r="71" spans="1:14" x14ac:dyDescent="0.3">
      <c r="A71">
        <v>1070</v>
      </c>
      <c r="B71" s="1">
        <v>45681</v>
      </c>
      <c r="C71" t="s">
        <v>22</v>
      </c>
      <c r="D71" t="s">
        <v>23</v>
      </c>
      <c r="E71" t="s">
        <v>14</v>
      </c>
      <c r="F71" t="s">
        <v>25</v>
      </c>
      <c r="G71" t="s">
        <v>16</v>
      </c>
      <c r="H71" t="s">
        <v>21</v>
      </c>
      <c r="I71">
        <v>24555</v>
      </c>
      <c r="J71">
        <v>3</v>
      </c>
      <c r="K71">
        <v>5</v>
      </c>
      <c r="L71">
        <v>69981</v>
      </c>
      <c r="M71">
        <f t="shared" si="2"/>
        <v>2025</v>
      </c>
      <c r="N71">
        <f t="shared" si="3"/>
        <v>1</v>
      </c>
    </row>
    <row r="72" spans="1:14" x14ac:dyDescent="0.3">
      <c r="A72">
        <v>1071</v>
      </c>
      <c r="B72" s="1">
        <v>45681</v>
      </c>
      <c r="C72" t="s">
        <v>22</v>
      </c>
      <c r="D72" t="s">
        <v>27</v>
      </c>
      <c r="E72" t="s">
        <v>14</v>
      </c>
      <c r="F72" t="s">
        <v>25</v>
      </c>
      <c r="G72" t="s">
        <v>20</v>
      </c>
      <c r="H72" t="s">
        <v>21</v>
      </c>
      <c r="I72">
        <v>27211</v>
      </c>
      <c r="J72">
        <v>2</v>
      </c>
      <c r="K72">
        <v>10</v>
      </c>
      <c r="L72">
        <v>48979</v>
      </c>
      <c r="M72">
        <f t="shared" si="2"/>
        <v>2025</v>
      </c>
      <c r="N72">
        <f t="shared" si="3"/>
        <v>1</v>
      </c>
    </row>
    <row r="73" spans="1:14" x14ac:dyDescent="0.3">
      <c r="A73">
        <v>1072</v>
      </c>
      <c r="B73" s="1">
        <v>45685</v>
      </c>
      <c r="C73" t="s">
        <v>12</v>
      </c>
      <c r="D73" t="s">
        <v>24</v>
      </c>
      <c r="E73" t="s">
        <v>14</v>
      </c>
      <c r="F73" t="s">
        <v>18</v>
      </c>
      <c r="G73" t="s">
        <v>19</v>
      </c>
      <c r="H73" t="s">
        <v>17</v>
      </c>
      <c r="I73">
        <v>63500</v>
      </c>
      <c r="J73">
        <v>2</v>
      </c>
      <c r="K73">
        <v>15</v>
      </c>
      <c r="L73">
        <v>107950</v>
      </c>
      <c r="M73">
        <f t="shared" si="2"/>
        <v>2025</v>
      </c>
      <c r="N73">
        <f t="shared" si="3"/>
        <v>1</v>
      </c>
    </row>
    <row r="74" spans="1:14" x14ac:dyDescent="0.3">
      <c r="A74">
        <v>1073</v>
      </c>
      <c r="B74" s="1">
        <v>45692</v>
      </c>
      <c r="C74" t="s">
        <v>31</v>
      </c>
      <c r="D74" t="s">
        <v>32</v>
      </c>
      <c r="E74" t="s">
        <v>14</v>
      </c>
      <c r="F74" t="s">
        <v>25</v>
      </c>
      <c r="G74" t="s">
        <v>16</v>
      </c>
      <c r="H74" t="s">
        <v>21</v>
      </c>
      <c r="I74">
        <v>25334</v>
      </c>
      <c r="J74">
        <v>2</v>
      </c>
      <c r="K74">
        <v>5</v>
      </c>
      <c r="L74">
        <v>48134</v>
      </c>
      <c r="M74">
        <f t="shared" si="2"/>
        <v>2025</v>
      </c>
      <c r="N74">
        <f t="shared" si="3"/>
        <v>2</v>
      </c>
    </row>
    <row r="75" spans="1:14" x14ac:dyDescent="0.3">
      <c r="A75">
        <v>1074</v>
      </c>
      <c r="B75" s="1">
        <v>45660</v>
      </c>
      <c r="C75" t="s">
        <v>31</v>
      </c>
      <c r="D75" t="s">
        <v>32</v>
      </c>
      <c r="E75" t="s">
        <v>14</v>
      </c>
      <c r="F75" t="s">
        <v>18</v>
      </c>
      <c r="G75" t="s">
        <v>26</v>
      </c>
      <c r="H75" t="s">
        <v>21</v>
      </c>
      <c r="I75">
        <v>57000</v>
      </c>
      <c r="J75">
        <v>3</v>
      </c>
      <c r="K75">
        <v>0</v>
      </c>
      <c r="L75">
        <v>171000</v>
      </c>
      <c r="M75">
        <f t="shared" si="2"/>
        <v>2025</v>
      </c>
      <c r="N75">
        <f t="shared" si="3"/>
        <v>1</v>
      </c>
    </row>
    <row r="76" spans="1:14" x14ac:dyDescent="0.3">
      <c r="A76">
        <v>1075</v>
      </c>
      <c r="B76" s="1">
        <v>45679</v>
      </c>
      <c r="C76" t="s">
        <v>28</v>
      </c>
      <c r="D76" t="s">
        <v>30</v>
      </c>
      <c r="E76" t="s">
        <v>14</v>
      </c>
      <c r="F76" t="s">
        <v>25</v>
      </c>
      <c r="G76" t="s">
        <v>16</v>
      </c>
      <c r="H76" t="s">
        <v>21</v>
      </c>
      <c r="I76">
        <v>25024</v>
      </c>
      <c r="J76">
        <v>3</v>
      </c>
      <c r="K76">
        <v>0</v>
      </c>
      <c r="L76">
        <v>75072</v>
      </c>
      <c r="M76">
        <f t="shared" si="2"/>
        <v>2025</v>
      </c>
      <c r="N76">
        <f t="shared" si="3"/>
        <v>1</v>
      </c>
    </row>
    <row r="77" spans="1:14" x14ac:dyDescent="0.3">
      <c r="A77">
        <v>1076</v>
      </c>
      <c r="B77" s="1">
        <v>45711</v>
      </c>
      <c r="C77" t="s">
        <v>28</v>
      </c>
      <c r="D77" t="s">
        <v>34</v>
      </c>
      <c r="E77" t="s">
        <v>14</v>
      </c>
      <c r="F77" t="s">
        <v>25</v>
      </c>
      <c r="G77" t="s">
        <v>26</v>
      </c>
      <c r="H77" t="s">
        <v>21</v>
      </c>
      <c r="I77">
        <v>23767</v>
      </c>
      <c r="J77">
        <v>3</v>
      </c>
      <c r="K77">
        <v>0</v>
      </c>
      <c r="L77">
        <v>71301</v>
      </c>
      <c r="M77">
        <f t="shared" si="2"/>
        <v>2025</v>
      </c>
      <c r="N77">
        <f t="shared" si="3"/>
        <v>2</v>
      </c>
    </row>
    <row r="78" spans="1:14" x14ac:dyDescent="0.3">
      <c r="A78">
        <v>1077</v>
      </c>
      <c r="B78" s="1">
        <v>45706</v>
      </c>
      <c r="C78" t="s">
        <v>31</v>
      </c>
      <c r="D78" t="s">
        <v>33</v>
      </c>
      <c r="E78" t="s">
        <v>14</v>
      </c>
      <c r="F78" t="s">
        <v>25</v>
      </c>
      <c r="G78" t="s">
        <v>26</v>
      </c>
      <c r="H78" t="s">
        <v>17</v>
      </c>
      <c r="I78">
        <v>20044</v>
      </c>
      <c r="J78">
        <v>2</v>
      </c>
      <c r="K78">
        <v>0</v>
      </c>
      <c r="L78">
        <v>40088</v>
      </c>
      <c r="M78">
        <f t="shared" si="2"/>
        <v>2025</v>
      </c>
      <c r="N78">
        <f t="shared" si="3"/>
        <v>2</v>
      </c>
    </row>
    <row r="79" spans="1:14" x14ac:dyDescent="0.3">
      <c r="A79">
        <v>1078</v>
      </c>
      <c r="B79" s="1">
        <v>45672</v>
      </c>
      <c r="C79" t="s">
        <v>28</v>
      </c>
      <c r="D79" t="s">
        <v>34</v>
      </c>
      <c r="E79" t="s">
        <v>14</v>
      </c>
      <c r="F79" t="s">
        <v>18</v>
      </c>
      <c r="G79" t="s">
        <v>26</v>
      </c>
      <c r="H79" t="s">
        <v>21</v>
      </c>
      <c r="I79">
        <v>62188</v>
      </c>
      <c r="J79">
        <v>3</v>
      </c>
      <c r="K79">
        <v>0</v>
      </c>
      <c r="L79">
        <v>186564</v>
      </c>
      <c r="M79">
        <f t="shared" si="2"/>
        <v>2025</v>
      </c>
      <c r="N79">
        <f t="shared" si="3"/>
        <v>1</v>
      </c>
    </row>
    <row r="80" spans="1:14" x14ac:dyDescent="0.3">
      <c r="A80">
        <v>1079</v>
      </c>
      <c r="B80" s="1">
        <v>45691</v>
      </c>
      <c r="C80" t="s">
        <v>31</v>
      </c>
      <c r="D80" t="s">
        <v>32</v>
      </c>
      <c r="E80" t="s">
        <v>14</v>
      </c>
      <c r="F80" t="s">
        <v>25</v>
      </c>
      <c r="G80" t="s">
        <v>26</v>
      </c>
      <c r="H80" t="s">
        <v>17</v>
      </c>
      <c r="I80">
        <v>21915</v>
      </c>
      <c r="J80">
        <v>1</v>
      </c>
      <c r="K80">
        <v>10</v>
      </c>
      <c r="L80">
        <v>19723</v>
      </c>
      <c r="M80">
        <f t="shared" si="2"/>
        <v>2025</v>
      </c>
      <c r="N80">
        <f t="shared" si="3"/>
        <v>2</v>
      </c>
    </row>
    <row r="81" spans="1:14" x14ac:dyDescent="0.3">
      <c r="A81">
        <v>1080</v>
      </c>
      <c r="B81" s="1">
        <v>45664</v>
      </c>
      <c r="C81" t="s">
        <v>12</v>
      </c>
      <c r="D81" t="s">
        <v>24</v>
      </c>
      <c r="E81" t="s">
        <v>14</v>
      </c>
      <c r="F81" t="s">
        <v>18</v>
      </c>
      <c r="G81" t="s">
        <v>20</v>
      </c>
      <c r="H81" t="s">
        <v>21</v>
      </c>
      <c r="I81">
        <v>56360</v>
      </c>
      <c r="J81">
        <v>1</v>
      </c>
      <c r="K81">
        <v>0</v>
      </c>
      <c r="L81">
        <v>56360</v>
      </c>
      <c r="M81">
        <f t="shared" si="2"/>
        <v>2025</v>
      </c>
      <c r="N81">
        <f t="shared" si="3"/>
        <v>1</v>
      </c>
    </row>
    <row r="82" spans="1:14" x14ac:dyDescent="0.3">
      <c r="A82">
        <v>1081</v>
      </c>
      <c r="B82" s="1">
        <v>45671</v>
      </c>
      <c r="C82" t="s">
        <v>28</v>
      </c>
      <c r="D82" t="s">
        <v>30</v>
      </c>
      <c r="E82" t="s">
        <v>14</v>
      </c>
      <c r="F82" t="s">
        <v>25</v>
      </c>
      <c r="G82" t="s">
        <v>26</v>
      </c>
      <c r="H82" t="s">
        <v>21</v>
      </c>
      <c r="I82">
        <v>28650</v>
      </c>
      <c r="J82">
        <v>3</v>
      </c>
      <c r="K82">
        <v>5</v>
      </c>
      <c r="L82">
        <v>81652</v>
      </c>
      <c r="M82">
        <f t="shared" si="2"/>
        <v>2025</v>
      </c>
      <c r="N82">
        <f t="shared" si="3"/>
        <v>1</v>
      </c>
    </row>
    <row r="83" spans="1:14" x14ac:dyDescent="0.3">
      <c r="A83">
        <v>1082</v>
      </c>
      <c r="B83" s="1">
        <v>45680</v>
      </c>
      <c r="C83" t="s">
        <v>28</v>
      </c>
      <c r="D83" t="s">
        <v>30</v>
      </c>
      <c r="E83" t="s">
        <v>14</v>
      </c>
      <c r="F83" t="s">
        <v>25</v>
      </c>
      <c r="G83" t="s">
        <v>16</v>
      </c>
      <c r="H83" t="s">
        <v>17</v>
      </c>
      <c r="I83">
        <v>29690</v>
      </c>
      <c r="J83">
        <v>3</v>
      </c>
      <c r="K83">
        <v>5</v>
      </c>
      <c r="L83">
        <v>84616</v>
      </c>
      <c r="M83">
        <f t="shared" si="2"/>
        <v>2025</v>
      </c>
      <c r="N83">
        <f t="shared" si="3"/>
        <v>1</v>
      </c>
    </row>
    <row r="84" spans="1:14" x14ac:dyDescent="0.3">
      <c r="A84">
        <v>1083</v>
      </c>
      <c r="B84" s="1">
        <v>45668</v>
      </c>
      <c r="C84" t="s">
        <v>31</v>
      </c>
      <c r="D84" t="s">
        <v>32</v>
      </c>
      <c r="E84" t="s">
        <v>14</v>
      </c>
      <c r="F84" t="s">
        <v>25</v>
      </c>
      <c r="G84" t="s">
        <v>26</v>
      </c>
      <c r="H84" t="s">
        <v>21</v>
      </c>
      <c r="I84">
        <v>28083</v>
      </c>
      <c r="J84">
        <v>3</v>
      </c>
      <c r="K84">
        <v>10</v>
      </c>
      <c r="L84">
        <v>75824</v>
      </c>
      <c r="M84">
        <f t="shared" si="2"/>
        <v>2025</v>
      </c>
      <c r="N84">
        <f t="shared" si="3"/>
        <v>1</v>
      </c>
    </row>
    <row r="85" spans="1:14" x14ac:dyDescent="0.3">
      <c r="A85">
        <v>1084</v>
      </c>
      <c r="B85" s="1">
        <v>45691</v>
      </c>
      <c r="C85" t="s">
        <v>28</v>
      </c>
      <c r="D85" t="s">
        <v>30</v>
      </c>
      <c r="E85" t="s">
        <v>14</v>
      </c>
      <c r="F85" t="s">
        <v>25</v>
      </c>
      <c r="G85" t="s">
        <v>20</v>
      </c>
      <c r="H85" t="s">
        <v>21</v>
      </c>
      <c r="I85">
        <v>26980</v>
      </c>
      <c r="J85">
        <v>3</v>
      </c>
      <c r="K85">
        <v>0</v>
      </c>
      <c r="L85">
        <v>80940</v>
      </c>
      <c r="M85">
        <f t="shared" si="2"/>
        <v>2025</v>
      </c>
      <c r="N85">
        <f t="shared" si="3"/>
        <v>2</v>
      </c>
    </row>
    <row r="86" spans="1:14" x14ac:dyDescent="0.3">
      <c r="A86">
        <v>1085</v>
      </c>
      <c r="B86" s="1">
        <v>45705</v>
      </c>
      <c r="C86" t="s">
        <v>22</v>
      </c>
      <c r="D86" t="s">
        <v>23</v>
      </c>
      <c r="E86" t="s">
        <v>14</v>
      </c>
      <c r="F86" t="s">
        <v>15</v>
      </c>
      <c r="G86" t="s">
        <v>26</v>
      </c>
      <c r="H86" t="s">
        <v>21</v>
      </c>
      <c r="I86">
        <v>18963</v>
      </c>
      <c r="J86">
        <v>2</v>
      </c>
      <c r="K86">
        <v>5</v>
      </c>
      <c r="L86">
        <v>36029</v>
      </c>
      <c r="M86">
        <f t="shared" si="2"/>
        <v>2025</v>
      </c>
      <c r="N86">
        <f t="shared" si="3"/>
        <v>2</v>
      </c>
    </row>
    <row r="87" spans="1:14" x14ac:dyDescent="0.3">
      <c r="A87">
        <v>1086</v>
      </c>
      <c r="B87" s="1">
        <v>45685</v>
      </c>
      <c r="C87" t="s">
        <v>28</v>
      </c>
      <c r="D87" t="s">
        <v>30</v>
      </c>
      <c r="E87" t="s">
        <v>14</v>
      </c>
      <c r="F87" t="s">
        <v>15</v>
      </c>
      <c r="G87" t="s">
        <v>20</v>
      </c>
      <c r="H87" t="s">
        <v>21</v>
      </c>
      <c r="I87">
        <v>20833</v>
      </c>
      <c r="J87">
        <v>2</v>
      </c>
      <c r="K87">
        <v>15</v>
      </c>
      <c r="L87">
        <v>35416</v>
      </c>
      <c r="M87">
        <f t="shared" si="2"/>
        <v>2025</v>
      </c>
      <c r="N87">
        <f t="shared" si="3"/>
        <v>1</v>
      </c>
    </row>
    <row r="88" spans="1:14" x14ac:dyDescent="0.3">
      <c r="A88">
        <v>1087</v>
      </c>
      <c r="B88" s="1">
        <v>45714</v>
      </c>
      <c r="C88" t="s">
        <v>28</v>
      </c>
      <c r="D88" t="s">
        <v>34</v>
      </c>
      <c r="E88" t="s">
        <v>14</v>
      </c>
      <c r="F88" t="s">
        <v>15</v>
      </c>
      <c r="G88" t="s">
        <v>19</v>
      </c>
      <c r="H88" t="s">
        <v>21</v>
      </c>
      <c r="I88">
        <v>21796</v>
      </c>
      <c r="J88">
        <v>1</v>
      </c>
      <c r="K88">
        <v>15</v>
      </c>
      <c r="L88">
        <v>18526</v>
      </c>
      <c r="M88">
        <f t="shared" si="2"/>
        <v>2025</v>
      </c>
      <c r="N88">
        <f t="shared" si="3"/>
        <v>2</v>
      </c>
    </row>
    <row r="89" spans="1:14" x14ac:dyDescent="0.3">
      <c r="A89">
        <v>1088</v>
      </c>
      <c r="B89" s="1">
        <v>45661</v>
      </c>
      <c r="C89" t="s">
        <v>12</v>
      </c>
      <c r="D89" t="s">
        <v>24</v>
      </c>
      <c r="E89" t="s">
        <v>14</v>
      </c>
      <c r="F89" t="s">
        <v>15</v>
      </c>
      <c r="G89" t="s">
        <v>16</v>
      </c>
      <c r="H89" t="s">
        <v>17</v>
      </c>
      <c r="I89">
        <v>19761</v>
      </c>
      <c r="J89">
        <v>2</v>
      </c>
      <c r="K89">
        <v>0</v>
      </c>
      <c r="L89">
        <v>39522</v>
      </c>
      <c r="M89">
        <f t="shared" si="2"/>
        <v>2025</v>
      </c>
      <c r="N89">
        <f t="shared" si="3"/>
        <v>1</v>
      </c>
    </row>
    <row r="90" spans="1:14" x14ac:dyDescent="0.3">
      <c r="A90">
        <v>1089</v>
      </c>
      <c r="B90" s="1">
        <v>45665</v>
      </c>
      <c r="C90" t="s">
        <v>28</v>
      </c>
      <c r="D90" t="s">
        <v>29</v>
      </c>
      <c r="E90" t="s">
        <v>14</v>
      </c>
      <c r="F90" t="s">
        <v>18</v>
      </c>
      <c r="G90" t="s">
        <v>26</v>
      </c>
      <c r="H90" t="s">
        <v>21</v>
      </c>
      <c r="I90">
        <v>60006</v>
      </c>
      <c r="J90">
        <v>2</v>
      </c>
      <c r="K90">
        <v>5</v>
      </c>
      <c r="L90">
        <v>114011</v>
      </c>
      <c r="M90">
        <f t="shared" si="2"/>
        <v>2025</v>
      </c>
      <c r="N90">
        <f t="shared" si="3"/>
        <v>1</v>
      </c>
    </row>
    <row r="91" spans="1:14" x14ac:dyDescent="0.3">
      <c r="A91">
        <v>1090</v>
      </c>
      <c r="B91" s="1">
        <v>45684</v>
      </c>
      <c r="C91" t="s">
        <v>31</v>
      </c>
      <c r="D91" t="s">
        <v>32</v>
      </c>
      <c r="E91" t="s">
        <v>14</v>
      </c>
      <c r="F91" t="s">
        <v>18</v>
      </c>
      <c r="G91" t="s">
        <v>26</v>
      </c>
      <c r="H91" t="s">
        <v>17</v>
      </c>
      <c r="I91">
        <v>59664</v>
      </c>
      <c r="J91">
        <v>2</v>
      </c>
      <c r="K91">
        <v>0</v>
      </c>
      <c r="L91">
        <v>119328</v>
      </c>
      <c r="M91">
        <f t="shared" si="2"/>
        <v>2025</v>
      </c>
      <c r="N91">
        <f t="shared" si="3"/>
        <v>1</v>
      </c>
    </row>
    <row r="92" spans="1:14" x14ac:dyDescent="0.3">
      <c r="A92">
        <v>1091</v>
      </c>
      <c r="B92" s="1">
        <v>45676</v>
      </c>
      <c r="C92" t="s">
        <v>28</v>
      </c>
      <c r="D92" t="s">
        <v>29</v>
      </c>
      <c r="E92" t="s">
        <v>14</v>
      </c>
      <c r="F92" t="s">
        <v>18</v>
      </c>
      <c r="G92" t="s">
        <v>19</v>
      </c>
      <c r="H92" t="s">
        <v>17</v>
      </c>
      <c r="I92">
        <v>56307</v>
      </c>
      <c r="J92">
        <v>1</v>
      </c>
      <c r="K92">
        <v>15</v>
      </c>
      <c r="L92">
        <v>47860</v>
      </c>
      <c r="M92">
        <f t="shared" si="2"/>
        <v>2025</v>
      </c>
      <c r="N92">
        <f t="shared" si="3"/>
        <v>1</v>
      </c>
    </row>
    <row r="93" spans="1:14" x14ac:dyDescent="0.3">
      <c r="A93">
        <v>1092</v>
      </c>
      <c r="B93" s="1">
        <v>45677</v>
      </c>
      <c r="C93" t="s">
        <v>12</v>
      </c>
      <c r="D93" t="s">
        <v>24</v>
      </c>
      <c r="E93" t="s">
        <v>14</v>
      </c>
      <c r="F93" t="s">
        <v>18</v>
      </c>
      <c r="G93" t="s">
        <v>20</v>
      </c>
      <c r="H93" t="s">
        <v>17</v>
      </c>
      <c r="I93">
        <v>57862</v>
      </c>
      <c r="J93">
        <v>1</v>
      </c>
      <c r="K93">
        <v>5</v>
      </c>
      <c r="L93">
        <v>54968</v>
      </c>
      <c r="M93">
        <f t="shared" si="2"/>
        <v>2025</v>
      </c>
      <c r="N93">
        <f t="shared" si="3"/>
        <v>1</v>
      </c>
    </row>
    <row r="94" spans="1:14" x14ac:dyDescent="0.3">
      <c r="A94">
        <v>1093</v>
      </c>
      <c r="B94" s="1">
        <v>45679</v>
      </c>
      <c r="C94" t="s">
        <v>12</v>
      </c>
      <c r="D94" t="s">
        <v>13</v>
      </c>
      <c r="E94" t="s">
        <v>14</v>
      </c>
      <c r="F94" t="s">
        <v>18</v>
      </c>
      <c r="G94" t="s">
        <v>26</v>
      </c>
      <c r="H94" t="s">
        <v>21</v>
      </c>
      <c r="I94">
        <v>55825</v>
      </c>
      <c r="J94">
        <v>3</v>
      </c>
      <c r="K94">
        <v>15</v>
      </c>
      <c r="L94">
        <v>142353</v>
      </c>
      <c r="M94">
        <f t="shared" si="2"/>
        <v>2025</v>
      </c>
      <c r="N94">
        <f t="shared" si="3"/>
        <v>1</v>
      </c>
    </row>
    <row r="95" spans="1:14" x14ac:dyDescent="0.3">
      <c r="A95">
        <v>1094</v>
      </c>
      <c r="B95" s="1">
        <v>45667</v>
      </c>
      <c r="C95" t="s">
        <v>28</v>
      </c>
      <c r="D95" t="s">
        <v>34</v>
      </c>
      <c r="E95" t="s">
        <v>14</v>
      </c>
      <c r="F95" t="s">
        <v>18</v>
      </c>
      <c r="G95" t="s">
        <v>19</v>
      </c>
      <c r="H95" t="s">
        <v>17</v>
      </c>
      <c r="I95">
        <v>59130</v>
      </c>
      <c r="J95">
        <v>2</v>
      </c>
      <c r="K95">
        <v>10</v>
      </c>
      <c r="L95">
        <v>106434</v>
      </c>
      <c r="M95">
        <f t="shared" si="2"/>
        <v>2025</v>
      </c>
      <c r="N95">
        <f t="shared" si="3"/>
        <v>1</v>
      </c>
    </row>
    <row r="96" spans="1:14" x14ac:dyDescent="0.3">
      <c r="A96">
        <v>1095</v>
      </c>
      <c r="B96" s="1">
        <v>45716</v>
      </c>
      <c r="C96" t="s">
        <v>22</v>
      </c>
      <c r="D96" t="s">
        <v>23</v>
      </c>
      <c r="E96" t="s">
        <v>14</v>
      </c>
      <c r="F96" t="s">
        <v>15</v>
      </c>
      <c r="G96" t="s">
        <v>19</v>
      </c>
      <c r="H96" t="s">
        <v>21</v>
      </c>
      <c r="I96">
        <v>24176</v>
      </c>
      <c r="J96">
        <v>1</v>
      </c>
      <c r="K96">
        <v>0</v>
      </c>
      <c r="L96">
        <v>24176</v>
      </c>
      <c r="M96">
        <f t="shared" si="2"/>
        <v>2025</v>
      </c>
      <c r="N96">
        <f t="shared" si="3"/>
        <v>2</v>
      </c>
    </row>
    <row r="97" spans="1:14" x14ac:dyDescent="0.3">
      <c r="A97">
        <v>1096</v>
      </c>
      <c r="B97" s="1">
        <v>45684</v>
      </c>
      <c r="C97" t="s">
        <v>12</v>
      </c>
      <c r="D97" t="s">
        <v>24</v>
      </c>
      <c r="E97" t="s">
        <v>14</v>
      </c>
      <c r="F97" t="s">
        <v>25</v>
      </c>
      <c r="G97" t="s">
        <v>19</v>
      </c>
      <c r="H97" t="s">
        <v>17</v>
      </c>
      <c r="I97">
        <v>29602</v>
      </c>
      <c r="J97">
        <v>2</v>
      </c>
      <c r="K97">
        <v>5</v>
      </c>
      <c r="L97">
        <v>56243</v>
      </c>
      <c r="M97">
        <f t="shared" si="2"/>
        <v>2025</v>
      </c>
      <c r="N97">
        <f t="shared" si="3"/>
        <v>1</v>
      </c>
    </row>
    <row r="98" spans="1:14" x14ac:dyDescent="0.3">
      <c r="A98">
        <v>1097</v>
      </c>
      <c r="B98" s="1">
        <v>45671</v>
      </c>
      <c r="C98" t="s">
        <v>12</v>
      </c>
      <c r="D98" t="s">
        <v>13</v>
      </c>
      <c r="E98" t="s">
        <v>14</v>
      </c>
      <c r="F98" t="s">
        <v>15</v>
      </c>
      <c r="G98" t="s">
        <v>20</v>
      </c>
      <c r="H98" t="s">
        <v>21</v>
      </c>
      <c r="I98">
        <v>19668</v>
      </c>
      <c r="J98">
        <v>3</v>
      </c>
      <c r="K98">
        <v>5</v>
      </c>
      <c r="L98">
        <v>56053</v>
      </c>
      <c r="M98">
        <f t="shared" si="2"/>
        <v>2025</v>
      </c>
      <c r="N98">
        <f t="shared" si="3"/>
        <v>1</v>
      </c>
    </row>
    <row r="99" spans="1:14" x14ac:dyDescent="0.3">
      <c r="A99">
        <v>1098</v>
      </c>
      <c r="B99" s="1">
        <v>45691</v>
      </c>
      <c r="C99" t="s">
        <v>31</v>
      </c>
      <c r="D99" t="s">
        <v>33</v>
      </c>
      <c r="E99" t="s">
        <v>14</v>
      </c>
      <c r="F99" t="s">
        <v>25</v>
      </c>
      <c r="G99" t="s">
        <v>16</v>
      </c>
      <c r="H99" t="s">
        <v>17</v>
      </c>
      <c r="I99">
        <v>25221</v>
      </c>
      <c r="J99">
        <v>2</v>
      </c>
      <c r="K99">
        <v>5</v>
      </c>
      <c r="L99">
        <v>47919</v>
      </c>
      <c r="M99">
        <f t="shared" si="2"/>
        <v>2025</v>
      </c>
      <c r="N99">
        <f t="shared" si="3"/>
        <v>2</v>
      </c>
    </row>
    <row r="100" spans="1:14" x14ac:dyDescent="0.3">
      <c r="A100">
        <v>1099</v>
      </c>
      <c r="B100" s="1">
        <v>45667</v>
      </c>
      <c r="C100" t="s">
        <v>12</v>
      </c>
      <c r="D100" t="s">
        <v>13</v>
      </c>
      <c r="E100" t="s">
        <v>14</v>
      </c>
      <c r="F100" t="s">
        <v>25</v>
      </c>
      <c r="G100" t="s">
        <v>26</v>
      </c>
      <c r="H100" t="s">
        <v>17</v>
      </c>
      <c r="I100">
        <v>22831</v>
      </c>
      <c r="J100">
        <v>2</v>
      </c>
      <c r="K100">
        <v>15</v>
      </c>
      <c r="L100">
        <v>38812</v>
      </c>
      <c r="M100">
        <f t="shared" si="2"/>
        <v>2025</v>
      </c>
      <c r="N100">
        <f t="shared" si="3"/>
        <v>1</v>
      </c>
    </row>
    <row r="101" spans="1:14" x14ac:dyDescent="0.3">
      <c r="A101">
        <v>1100</v>
      </c>
      <c r="B101" s="1">
        <v>45696</v>
      </c>
      <c r="C101" t="s">
        <v>31</v>
      </c>
      <c r="D101" t="s">
        <v>33</v>
      </c>
      <c r="E101" t="s">
        <v>14</v>
      </c>
      <c r="F101" t="s">
        <v>18</v>
      </c>
      <c r="G101" t="s">
        <v>26</v>
      </c>
      <c r="H101" t="s">
        <v>17</v>
      </c>
      <c r="I101">
        <v>61375</v>
      </c>
      <c r="J101">
        <v>1</v>
      </c>
      <c r="K101">
        <v>0</v>
      </c>
      <c r="L101">
        <v>61375</v>
      </c>
      <c r="M101">
        <f t="shared" si="2"/>
        <v>2025</v>
      </c>
      <c r="N101">
        <f t="shared" si="3"/>
        <v>2</v>
      </c>
    </row>
    <row r="102" spans="1:14" x14ac:dyDescent="0.3">
      <c r="A102">
        <v>1101</v>
      </c>
      <c r="B102" s="1">
        <v>45697</v>
      </c>
      <c r="C102" t="s">
        <v>12</v>
      </c>
      <c r="D102" t="s">
        <v>13</v>
      </c>
      <c r="E102" t="s">
        <v>14</v>
      </c>
      <c r="F102" t="s">
        <v>25</v>
      </c>
      <c r="G102" t="s">
        <v>16</v>
      </c>
      <c r="H102" t="s">
        <v>17</v>
      </c>
      <c r="I102">
        <v>25720</v>
      </c>
      <c r="J102">
        <v>1</v>
      </c>
      <c r="K102">
        <v>10</v>
      </c>
      <c r="L102">
        <v>23148</v>
      </c>
      <c r="M102">
        <f t="shared" si="2"/>
        <v>2025</v>
      </c>
      <c r="N102">
        <f t="shared" si="3"/>
        <v>2</v>
      </c>
    </row>
    <row r="103" spans="1:14" x14ac:dyDescent="0.3">
      <c r="A103">
        <v>1102</v>
      </c>
      <c r="B103" s="1">
        <v>45701</v>
      </c>
      <c r="C103" t="s">
        <v>22</v>
      </c>
      <c r="D103" t="s">
        <v>27</v>
      </c>
      <c r="E103" t="s">
        <v>14</v>
      </c>
      <c r="F103" t="s">
        <v>25</v>
      </c>
      <c r="G103" t="s">
        <v>16</v>
      </c>
      <c r="H103" t="s">
        <v>17</v>
      </c>
      <c r="I103">
        <v>25702</v>
      </c>
      <c r="J103">
        <v>1</v>
      </c>
      <c r="K103">
        <v>5</v>
      </c>
      <c r="L103">
        <v>24416</v>
      </c>
      <c r="M103">
        <f t="shared" si="2"/>
        <v>2025</v>
      </c>
      <c r="N103">
        <f t="shared" si="3"/>
        <v>2</v>
      </c>
    </row>
    <row r="104" spans="1:14" x14ac:dyDescent="0.3">
      <c r="A104">
        <v>1103</v>
      </c>
      <c r="B104" s="1">
        <v>45665</v>
      </c>
      <c r="C104" t="s">
        <v>28</v>
      </c>
      <c r="D104" t="s">
        <v>30</v>
      </c>
      <c r="E104" t="s">
        <v>14</v>
      </c>
      <c r="F104" t="s">
        <v>25</v>
      </c>
      <c r="G104" t="s">
        <v>19</v>
      </c>
      <c r="H104" t="s">
        <v>17</v>
      </c>
      <c r="I104">
        <v>23681</v>
      </c>
      <c r="J104">
        <v>2</v>
      </c>
      <c r="K104">
        <v>0</v>
      </c>
      <c r="L104">
        <v>47362</v>
      </c>
      <c r="M104">
        <f t="shared" si="2"/>
        <v>2025</v>
      </c>
      <c r="N104">
        <f t="shared" si="3"/>
        <v>1</v>
      </c>
    </row>
    <row r="105" spans="1:14" x14ac:dyDescent="0.3">
      <c r="A105">
        <v>1104</v>
      </c>
      <c r="B105" s="1">
        <v>45684</v>
      </c>
      <c r="C105" t="s">
        <v>28</v>
      </c>
      <c r="D105" t="s">
        <v>30</v>
      </c>
      <c r="E105" t="s">
        <v>14</v>
      </c>
      <c r="F105" t="s">
        <v>15</v>
      </c>
      <c r="G105" t="s">
        <v>26</v>
      </c>
      <c r="H105" t="s">
        <v>17</v>
      </c>
      <c r="I105">
        <v>19872</v>
      </c>
      <c r="J105">
        <v>2</v>
      </c>
      <c r="K105">
        <v>15</v>
      </c>
      <c r="L105">
        <v>33782</v>
      </c>
      <c r="M105">
        <f t="shared" si="2"/>
        <v>2025</v>
      </c>
      <c r="N105">
        <f t="shared" si="3"/>
        <v>1</v>
      </c>
    </row>
    <row r="106" spans="1:14" x14ac:dyDescent="0.3">
      <c r="A106">
        <v>1105</v>
      </c>
      <c r="B106" s="1">
        <v>45688</v>
      </c>
      <c r="C106" t="s">
        <v>28</v>
      </c>
      <c r="D106" t="s">
        <v>29</v>
      </c>
      <c r="E106" t="s">
        <v>14</v>
      </c>
      <c r="F106" t="s">
        <v>18</v>
      </c>
      <c r="G106" t="s">
        <v>26</v>
      </c>
      <c r="H106" t="s">
        <v>21</v>
      </c>
      <c r="I106">
        <v>60157</v>
      </c>
      <c r="J106">
        <v>2</v>
      </c>
      <c r="K106">
        <v>5</v>
      </c>
      <c r="L106">
        <v>114298</v>
      </c>
      <c r="M106">
        <f t="shared" si="2"/>
        <v>2025</v>
      </c>
      <c r="N106">
        <f t="shared" si="3"/>
        <v>1</v>
      </c>
    </row>
    <row r="107" spans="1:14" x14ac:dyDescent="0.3">
      <c r="A107">
        <v>1106</v>
      </c>
      <c r="B107" s="1">
        <v>45663</v>
      </c>
      <c r="C107" t="s">
        <v>31</v>
      </c>
      <c r="D107" t="s">
        <v>32</v>
      </c>
      <c r="E107" t="s">
        <v>14</v>
      </c>
      <c r="F107" t="s">
        <v>15</v>
      </c>
      <c r="G107" t="s">
        <v>19</v>
      </c>
      <c r="H107" t="s">
        <v>21</v>
      </c>
      <c r="I107">
        <v>22091</v>
      </c>
      <c r="J107">
        <v>2</v>
      </c>
      <c r="K107">
        <v>10</v>
      </c>
      <c r="L107">
        <v>39763</v>
      </c>
      <c r="M107">
        <f t="shared" si="2"/>
        <v>2025</v>
      </c>
      <c r="N107">
        <f t="shared" si="3"/>
        <v>1</v>
      </c>
    </row>
    <row r="108" spans="1:14" x14ac:dyDescent="0.3">
      <c r="A108">
        <v>1107</v>
      </c>
      <c r="B108" s="1">
        <v>45711</v>
      </c>
      <c r="C108" t="s">
        <v>22</v>
      </c>
      <c r="D108" t="s">
        <v>27</v>
      </c>
      <c r="E108" t="s">
        <v>14</v>
      </c>
      <c r="F108" t="s">
        <v>25</v>
      </c>
      <c r="G108" t="s">
        <v>20</v>
      </c>
      <c r="H108" t="s">
        <v>17</v>
      </c>
      <c r="I108">
        <v>24379</v>
      </c>
      <c r="J108">
        <v>3</v>
      </c>
      <c r="K108">
        <v>15</v>
      </c>
      <c r="L108">
        <v>62166</v>
      </c>
      <c r="M108">
        <f t="shared" si="2"/>
        <v>2025</v>
      </c>
      <c r="N108">
        <f t="shared" si="3"/>
        <v>2</v>
      </c>
    </row>
    <row r="109" spans="1:14" x14ac:dyDescent="0.3">
      <c r="A109">
        <v>1108</v>
      </c>
      <c r="B109" s="1">
        <v>45714</v>
      </c>
      <c r="C109" t="s">
        <v>31</v>
      </c>
      <c r="D109" t="s">
        <v>32</v>
      </c>
      <c r="E109" t="s">
        <v>14</v>
      </c>
      <c r="F109" t="s">
        <v>18</v>
      </c>
      <c r="G109" t="s">
        <v>26</v>
      </c>
      <c r="H109" t="s">
        <v>17</v>
      </c>
      <c r="I109">
        <v>57904</v>
      </c>
      <c r="J109">
        <v>3</v>
      </c>
      <c r="K109">
        <v>0</v>
      </c>
      <c r="L109">
        <v>173712</v>
      </c>
      <c r="M109">
        <f t="shared" si="2"/>
        <v>2025</v>
      </c>
      <c r="N109">
        <f t="shared" si="3"/>
        <v>2</v>
      </c>
    </row>
    <row r="110" spans="1:14" x14ac:dyDescent="0.3">
      <c r="A110">
        <v>1109</v>
      </c>
      <c r="B110" s="1">
        <v>45677</v>
      </c>
      <c r="C110" t="s">
        <v>22</v>
      </c>
      <c r="D110" t="s">
        <v>23</v>
      </c>
      <c r="E110" t="s">
        <v>14</v>
      </c>
      <c r="F110" t="s">
        <v>15</v>
      </c>
      <c r="G110" t="s">
        <v>26</v>
      </c>
      <c r="H110" t="s">
        <v>17</v>
      </c>
      <c r="I110">
        <v>19588</v>
      </c>
      <c r="J110">
        <v>1</v>
      </c>
      <c r="K110">
        <v>10</v>
      </c>
      <c r="L110">
        <v>17629</v>
      </c>
      <c r="M110">
        <f t="shared" si="2"/>
        <v>2025</v>
      </c>
      <c r="N110">
        <f t="shared" si="3"/>
        <v>1</v>
      </c>
    </row>
    <row r="111" spans="1:14" x14ac:dyDescent="0.3">
      <c r="A111">
        <v>1110</v>
      </c>
      <c r="B111" s="1">
        <v>45683</v>
      </c>
      <c r="C111" t="s">
        <v>22</v>
      </c>
      <c r="D111" t="s">
        <v>27</v>
      </c>
      <c r="E111" t="s">
        <v>14</v>
      </c>
      <c r="F111" t="s">
        <v>25</v>
      </c>
      <c r="G111" t="s">
        <v>20</v>
      </c>
      <c r="H111" t="s">
        <v>17</v>
      </c>
      <c r="I111">
        <v>27362</v>
      </c>
      <c r="J111">
        <v>3</v>
      </c>
      <c r="K111">
        <v>15</v>
      </c>
      <c r="L111">
        <v>69773</v>
      </c>
      <c r="M111">
        <f t="shared" si="2"/>
        <v>2025</v>
      </c>
      <c r="N111">
        <f t="shared" si="3"/>
        <v>1</v>
      </c>
    </row>
    <row r="112" spans="1:14" x14ac:dyDescent="0.3">
      <c r="A112">
        <v>1111</v>
      </c>
      <c r="B112" s="1">
        <v>45676</v>
      </c>
      <c r="C112" t="s">
        <v>28</v>
      </c>
      <c r="D112" t="s">
        <v>34</v>
      </c>
      <c r="E112" t="s">
        <v>14</v>
      </c>
      <c r="F112" t="s">
        <v>18</v>
      </c>
      <c r="G112" t="s">
        <v>19</v>
      </c>
      <c r="H112" t="s">
        <v>17</v>
      </c>
      <c r="I112">
        <v>64251</v>
      </c>
      <c r="J112">
        <v>3</v>
      </c>
      <c r="K112">
        <v>15</v>
      </c>
      <c r="L112">
        <v>163840</v>
      </c>
      <c r="M112">
        <f t="shared" si="2"/>
        <v>2025</v>
      </c>
      <c r="N112">
        <f t="shared" si="3"/>
        <v>1</v>
      </c>
    </row>
    <row r="113" spans="1:14" x14ac:dyDescent="0.3">
      <c r="A113">
        <v>1112</v>
      </c>
      <c r="B113" s="1">
        <v>45681</v>
      </c>
      <c r="C113" t="s">
        <v>12</v>
      </c>
      <c r="D113" t="s">
        <v>13</v>
      </c>
      <c r="E113" t="s">
        <v>14</v>
      </c>
      <c r="F113" t="s">
        <v>18</v>
      </c>
      <c r="G113" t="s">
        <v>19</v>
      </c>
      <c r="H113" t="s">
        <v>17</v>
      </c>
      <c r="I113">
        <v>57142</v>
      </c>
      <c r="J113">
        <v>1</v>
      </c>
      <c r="K113">
        <v>5</v>
      </c>
      <c r="L113">
        <v>54284</v>
      </c>
      <c r="M113">
        <f t="shared" si="2"/>
        <v>2025</v>
      </c>
      <c r="N113">
        <f t="shared" si="3"/>
        <v>1</v>
      </c>
    </row>
    <row r="114" spans="1:14" x14ac:dyDescent="0.3">
      <c r="A114">
        <v>1113</v>
      </c>
      <c r="B114" s="1">
        <v>45701</v>
      </c>
      <c r="C114" t="s">
        <v>12</v>
      </c>
      <c r="D114" t="s">
        <v>13</v>
      </c>
      <c r="E114" t="s">
        <v>14</v>
      </c>
      <c r="F114" t="s">
        <v>25</v>
      </c>
      <c r="G114" t="s">
        <v>26</v>
      </c>
      <c r="H114" t="s">
        <v>17</v>
      </c>
      <c r="I114">
        <v>22749</v>
      </c>
      <c r="J114">
        <v>2</v>
      </c>
      <c r="K114">
        <v>5</v>
      </c>
      <c r="L114">
        <v>43223</v>
      </c>
      <c r="M114">
        <f t="shared" si="2"/>
        <v>2025</v>
      </c>
      <c r="N114">
        <f t="shared" si="3"/>
        <v>2</v>
      </c>
    </row>
    <row r="115" spans="1:14" x14ac:dyDescent="0.3">
      <c r="A115">
        <v>1114</v>
      </c>
      <c r="B115" s="1">
        <v>45668</v>
      </c>
      <c r="C115" t="s">
        <v>12</v>
      </c>
      <c r="D115" t="s">
        <v>13</v>
      </c>
      <c r="E115" t="s">
        <v>14</v>
      </c>
      <c r="F115" t="s">
        <v>15</v>
      </c>
      <c r="G115" t="s">
        <v>19</v>
      </c>
      <c r="H115" t="s">
        <v>17</v>
      </c>
      <c r="I115">
        <v>22815</v>
      </c>
      <c r="J115">
        <v>1</v>
      </c>
      <c r="K115">
        <v>0</v>
      </c>
      <c r="L115">
        <v>22815</v>
      </c>
      <c r="M115">
        <f t="shared" si="2"/>
        <v>2025</v>
      </c>
      <c r="N115">
        <f t="shared" si="3"/>
        <v>1</v>
      </c>
    </row>
    <row r="116" spans="1:14" x14ac:dyDescent="0.3">
      <c r="A116">
        <v>1115</v>
      </c>
      <c r="B116" s="1">
        <v>45691</v>
      </c>
      <c r="C116" t="s">
        <v>12</v>
      </c>
      <c r="D116" t="s">
        <v>13</v>
      </c>
      <c r="E116" t="s">
        <v>14</v>
      </c>
      <c r="F116" t="s">
        <v>18</v>
      </c>
      <c r="G116" t="s">
        <v>20</v>
      </c>
      <c r="H116" t="s">
        <v>21</v>
      </c>
      <c r="I116">
        <v>64585</v>
      </c>
      <c r="J116">
        <v>2</v>
      </c>
      <c r="K116">
        <v>15</v>
      </c>
      <c r="L116">
        <v>109794</v>
      </c>
      <c r="M116">
        <f t="shared" si="2"/>
        <v>2025</v>
      </c>
      <c r="N116">
        <f t="shared" si="3"/>
        <v>2</v>
      </c>
    </row>
    <row r="117" spans="1:14" x14ac:dyDescent="0.3">
      <c r="A117">
        <v>1116</v>
      </c>
      <c r="B117" s="1">
        <v>45668</v>
      </c>
      <c r="C117" t="s">
        <v>31</v>
      </c>
      <c r="D117" t="s">
        <v>33</v>
      </c>
      <c r="E117" t="s">
        <v>14</v>
      </c>
      <c r="F117" t="s">
        <v>18</v>
      </c>
      <c r="G117" t="s">
        <v>19</v>
      </c>
      <c r="H117" t="s">
        <v>17</v>
      </c>
      <c r="I117">
        <v>62798</v>
      </c>
      <c r="J117">
        <v>2</v>
      </c>
      <c r="K117">
        <v>0</v>
      </c>
      <c r="L117">
        <v>125596</v>
      </c>
      <c r="M117">
        <f t="shared" si="2"/>
        <v>2025</v>
      </c>
      <c r="N117">
        <f t="shared" si="3"/>
        <v>1</v>
      </c>
    </row>
    <row r="118" spans="1:14" x14ac:dyDescent="0.3">
      <c r="A118">
        <v>1117</v>
      </c>
      <c r="B118" s="1">
        <v>45680</v>
      </c>
      <c r="C118" t="s">
        <v>31</v>
      </c>
      <c r="D118" t="s">
        <v>32</v>
      </c>
      <c r="E118" t="s">
        <v>14</v>
      </c>
      <c r="F118" t="s">
        <v>15</v>
      </c>
      <c r="G118" t="s">
        <v>26</v>
      </c>
      <c r="H118" t="s">
        <v>21</v>
      </c>
      <c r="I118">
        <v>23868</v>
      </c>
      <c r="J118">
        <v>1</v>
      </c>
      <c r="K118">
        <v>5</v>
      </c>
      <c r="L118">
        <v>22674</v>
      </c>
      <c r="M118">
        <f t="shared" si="2"/>
        <v>2025</v>
      </c>
      <c r="N118">
        <f t="shared" si="3"/>
        <v>1</v>
      </c>
    </row>
    <row r="119" spans="1:14" x14ac:dyDescent="0.3">
      <c r="A119">
        <v>1118</v>
      </c>
      <c r="B119" s="1">
        <v>45680</v>
      </c>
      <c r="C119" t="s">
        <v>28</v>
      </c>
      <c r="D119" t="s">
        <v>29</v>
      </c>
      <c r="E119" t="s">
        <v>14</v>
      </c>
      <c r="F119" t="s">
        <v>25</v>
      </c>
      <c r="G119" t="s">
        <v>16</v>
      </c>
      <c r="H119" t="s">
        <v>21</v>
      </c>
      <c r="I119">
        <v>29013</v>
      </c>
      <c r="J119">
        <v>1</v>
      </c>
      <c r="K119">
        <v>15</v>
      </c>
      <c r="L119">
        <v>24661</v>
      </c>
      <c r="M119">
        <f t="shared" si="2"/>
        <v>2025</v>
      </c>
      <c r="N119">
        <f t="shared" si="3"/>
        <v>1</v>
      </c>
    </row>
    <row r="120" spans="1:14" x14ac:dyDescent="0.3">
      <c r="A120">
        <v>1119</v>
      </c>
      <c r="B120" s="1">
        <v>45661</v>
      </c>
      <c r="C120" t="s">
        <v>28</v>
      </c>
      <c r="D120" t="s">
        <v>29</v>
      </c>
      <c r="E120" t="s">
        <v>14</v>
      </c>
      <c r="F120" t="s">
        <v>15</v>
      </c>
      <c r="G120" t="s">
        <v>20</v>
      </c>
      <c r="H120" t="s">
        <v>21</v>
      </c>
      <c r="I120">
        <v>20344</v>
      </c>
      <c r="J120">
        <v>1</v>
      </c>
      <c r="K120">
        <v>0</v>
      </c>
      <c r="L120">
        <v>20344</v>
      </c>
      <c r="M120">
        <f t="shared" si="2"/>
        <v>2025</v>
      </c>
      <c r="N120">
        <f t="shared" si="3"/>
        <v>1</v>
      </c>
    </row>
    <row r="121" spans="1:14" x14ac:dyDescent="0.3">
      <c r="A121">
        <v>1120</v>
      </c>
      <c r="B121" s="1">
        <v>45680</v>
      </c>
      <c r="C121" t="s">
        <v>31</v>
      </c>
      <c r="D121" t="s">
        <v>33</v>
      </c>
      <c r="E121" t="s">
        <v>14</v>
      </c>
      <c r="F121" t="s">
        <v>18</v>
      </c>
      <c r="G121" t="s">
        <v>26</v>
      </c>
      <c r="H121" t="s">
        <v>17</v>
      </c>
      <c r="I121">
        <v>57320</v>
      </c>
      <c r="J121">
        <v>3</v>
      </c>
      <c r="K121">
        <v>15</v>
      </c>
      <c r="L121">
        <v>146166</v>
      </c>
      <c r="M121">
        <f t="shared" si="2"/>
        <v>2025</v>
      </c>
      <c r="N121">
        <f t="shared" si="3"/>
        <v>1</v>
      </c>
    </row>
    <row r="122" spans="1:14" x14ac:dyDescent="0.3">
      <c r="A122">
        <v>1121</v>
      </c>
      <c r="B122" s="1">
        <v>45682</v>
      </c>
      <c r="C122" t="s">
        <v>31</v>
      </c>
      <c r="D122" t="s">
        <v>33</v>
      </c>
      <c r="E122" t="s">
        <v>14</v>
      </c>
      <c r="F122" t="s">
        <v>18</v>
      </c>
      <c r="G122" t="s">
        <v>26</v>
      </c>
      <c r="H122" t="s">
        <v>21</v>
      </c>
      <c r="I122">
        <v>57702</v>
      </c>
      <c r="J122">
        <v>1</v>
      </c>
      <c r="K122">
        <v>15</v>
      </c>
      <c r="L122">
        <v>49046</v>
      </c>
      <c r="M122">
        <f t="shared" si="2"/>
        <v>2025</v>
      </c>
      <c r="N122">
        <f t="shared" si="3"/>
        <v>1</v>
      </c>
    </row>
    <row r="123" spans="1:14" x14ac:dyDescent="0.3">
      <c r="A123">
        <v>1122</v>
      </c>
      <c r="B123" s="1">
        <v>45682</v>
      </c>
      <c r="C123" t="s">
        <v>31</v>
      </c>
      <c r="D123" t="s">
        <v>32</v>
      </c>
      <c r="E123" t="s">
        <v>14</v>
      </c>
      <c r="F123" t="s">
        <v>18</v>
      </c>
      <c r="G123" t="s">
        <v>20</v>
      </c>
      <c r="H123" t="s">
        <v>17</v>
      </c>
      <c r="I123">
        <v>55949</v>
      </c>
      <c r="J123">
        <v>2</v>
      </c>
      <c r="K123">
        <v>0</v>
      </c>
      <c r="L123">
        <v>111898</v>
      </c>
      <c r="M123">
        <f t="shared" si="2"/>
        <v>2025</v>
      </c>
      <c r="N123">
        <f t="shared" si="3"/>
        <v>1</v>
      </c>
    </row>
    <row r="124" spans="1:14" x14ac:dyDescent="0.3">
      <c r="A124">
        <v>1123</v>
      </c>
      <c r="B124" s="1">
        <v>45687</v>
      </c>
      <c r="C124" t="s">
        <v>12</v>
      </c>
      <c r="D124" t="s">
        <v>24</v>
      </c>
      <c r="E124" t="s">
        <v>14</v>
      </c>
      <c r="F124" t="s">
        <v>15</v>
      </c>
      <c r="G124" t="s">
        <v>16</v>
      </c>
      <c r="H124" t="s">
        <v>17</v>
      </c>
      <c r="I124">
        <v>21328</v>
      </c>
      <c r="J124">
        <v>1</v>
      </c>
      <c r="K124">
        <v>0</v>
      </c>
      <c r="L124">
        <v>21328</v>
      </c>
      <c r="M124">
        <f t="shared" si="2"/>
        <v>2025</v>
      </c>
      <c r="N124">
        <f t="shared" si="3"/>
        <v>1</v>
      </c>
    </row>
    <row r="125" spans="1:14" x14ac:dyDescent="0.3">
      <c r="A125">
        <v>1124</v>
      </c>
      <c r="B125" s="1">
        <v>45665</v>
      </c>
      <c r="C125" t="s">
        <v>31</v>
      </c>
      <c r="D125" t="s">
        <v>33</v>
      </c>
      <c r="E125" t="s">
        <v>14</v>
      </c>
      <c r="F125" t="s">
        <v>25</v>
      </c>
      <c r="G125" t="s">
        <v>26</v>
      </c>
      <c r="H125" t="s">
        <v>21</v>
      </c>
      <c r="I125">
        <v>21833</v>
      </c>
      <c r="J125">
        <v>3</v>
      </c>
      <c r="K125">
        <v>5</v>
      </c>
      <c r="L125">
        <v>62224</v>
      </c>
      <c r="M125">
        <f t="shared" si="2"/>
        <v>2025</v>
      </c>
      <c r="N125">
        <f t="shared" si="3"/>
        <v>1</v>
      </c>
    </row>
    <row r="126" spans="1:14" x14ac:dyDescent="0.3">
      <c r="A126">
        <v>1125</v>
      </c>
      <c r="B126" s="1">
        <v>45704</v>
      </c>
      <c r="C126" t="s">
        <v>12</v>
      </c>
      <c r="D126" t="s">
        <v>24</v>
      </c>
      <c r="E126" t="s">
        <v>14</v>
      </c>
      <c r="F126" t="s">
        <v>15</v>
      </c>
      <c r="G126" t="s">
        <v>19</v>
      </c>
      <c r="H126" t="s">
        <v>21</v>
      </c>
      <c r="I126">
        <v>19987</v>
      </c>
      <c r="J126">
        <v>3</v>
      </c>
      <c r="K126">
        <v>5</v>
      </c>
      <c r="L126">
        <v>56962</v>
      </c>
      <c r="M126">
        <f t="shared" si="2"/>
        <v>2025</v>
      </c>
      <c r="N126">
        <f t="shared" si="3"/>
        <v>2</v>
      </c>
    </row>
    <row r="127" spans="1:14" x14ac:dyDescent="0.3">
      <c r="A127">
        <v>1126</v>
      </c>
      <c r="B127" s="1">
        <v>45669</v>
      </c>
      <c r="C127" t="s">
        <v>12</v>
      </c>
      <c r="D127" t="s">
        <v>24</v>
      </c>
      <c r="E127" t="s">
        <v>14</v>
      </c>
      <c r="F127" t="s">
        <v>18</v>
      </c>
      <c r="G127" t="s">
        <v>20</v>
      </c>
      <c r="H127" t="s">
        <v>21</v>
      </c>
      <c r="I127">
        <v>63258</v>
      </c>
      <c r="J127">
        <v>1</v>
      </c>
      <c r="K127">
        <v>10</v>
      </c>
      <c r="L127">
        <v>56932</v>
      </c>
      <c r="M127">
        <f t="shared" si="2"/>
        <v>2025</v>
      </c>
      <c r="N127">
        <f t="shared" si="3"/>
        <v>1</v>
      </c>
    </row>
    <row r="128" spans="1:14" x14ac:dyDescent="0.3">
      <c r="A128">
        <v>1127</v>
      </c>
      <c r="B128" s="1">
        <v>45699</v>
      </c>
      <c r="C128" t="s">
        <v>22</v>
      </c>
      <c r="D128" t="s">
        <v>27</v>
      </c>
      <c r="E128" t="s">
        <v>14</v>
      </c>
      <c r="F128" t="s">
        <v>25</v>
      </c>
      <c r="G128" t="s">
        <v>19</v>
      </c>
      <c r="H128" t="s">
        <v>17</v>
      </c>
      <c r="I128">
        <v>20119</v>
      </c>
      <c r="J128">
        <v>2</v>
      </c>
      <c r="K128">
        <v>15</v>
      </c>
      <c r="L128">
        <v>34202</v>
      </c>
      <c r="M128">
        <f t="shared" si="2"/>
        <v>2025</v>
      </c>
      <c r="N128">
        <f t="shared" si="3"/>
        <v>2</v>
      </c>
    </row>
    <row r="129" spans="1:14" x14ac:dyDescent="0.3">
      <c r="A129">
        <v>1128</v>
      </c>
      <c r="B129" s="1">
        <v>45700</v>
      </c>
      <c r="C129" t="s">
        <v>22</v>
      </c>
      <c r="D129" t="s">
        <v>23</v>
      </c>
      <c r="E129" t="s">
        <v>14</v>
      </c>
      <c r="F129" t="s">
        <v>25</v>
      </c>
      <c r="G129" t="s">
        <v>19</v>
      </c>
      <c r="H129" t="s">
        <v>17</v>
      </c>
      <c r="I129">
        <v>25502</v>
      </c>
      <c r="J129">
        <v>1</v>
      </c>
      <c r="K129">
        <v>15</v>
      </c>
      <c r="L129">
        <v>21676</v>
      </c>
      <c r="M129">
        <f t="shared" si="2"/>
        <v>2025</v>
      </c>
      <c r="N129">
        <f t="shared" si="3"/>
        <v>2</v>
      </c>
    </row>
    <row r="130" spans="1:14" x14ac:dyDescent="0.3">
      <c r="A130">
        <v>1129</v>
      </c>
      <c r="B130" s="1">
        <v>45661</v>
      </c>
      <c r="C130" t="s">
        <v>28</v>
      </c>
      <c r="D130" t="s">
        <v>34</v>
      </c>
      <c r="E130" t="s">
        <v>14</v>
      </c>
      <c r="F130" t="s">
        <v>18</v>
      </c>
      <c r="G130" t="s">
        <v>26</v>
      </c>
      <c r="H130" t="s">
        <v>17</v>
      </c>
      <c r="I130">
        <v>62514</v>
      </c>
      <c r="J130">
        <v>3</v>
      </c>
      <c r="K130">
        <v>0</v>
      </c>
      <c r="L130">
        <v>187542</v>
      </c>
      <c r="M130">
        <f t="shared" si="2"/>
        <v>2025</v>
      </c>
      <c r="N130">
        <f t="shared" si="3"/>
        <v>1</v>
      </c>
    </row>
    <row r="131" spans="1:14" x14ac:dyDescent="0.3">
      <c r="A131">
        <v>1130</v>
      </c>
      <c r="B131" s="1">
        <v>45718</v>
      </c>
      <c r="C131" t="s">
        <v>12</v>
      </c>
      <c r="D131" t="s">
        <v>13</v>
      </c>
      <c r="E131" t="s">
        <v>14</v>
      </c>
      <c r="F131" t="s">
        <v>25</v>
      </c>
      <c r="G131" t="s">
        <v>19</v>
      </c>
      <c r="H131" t="s">
        <v>21</v>
      </c>
      <c r="I131">
        <v>21567</v>
      </c>
      <c r="J131">
        <v>2</v>
      </c>
      <c r="K131">
        <v>5</v>
      </c>
      <c r="L131">
        <v>40977</v>
      </c>
      <c r="M131">
        <f t="shared" ref="M131:M194" si="4">YEAR(B131)</f>
        <v>2025</v>
      </c>
      <c r="N131">
        <f t="shared" ref="N131:N194" si="5">MONTH(B131)</f>
        <v>3</v>
      </c>
    </row>
    <row r="132" spans="1:14" x14ac:dyDescent="0.3">
      <c r="A132">
        <v>1131</v>
      </c>
      <c r="B132" s="1">
        <v>45679</v>
      </c>
      <c r="C132" t="s">
        <v>22</v>
      </c>
      <c r="D132" t="s">
        <v>23</v>
      </c>
      <c r="E132" t="s">
        <v>14</v>
      </c>
      <c r="F132" t="s">
        <v>25</v>
      </c>
      <c r="G132" t="s">
        <v>20</v>
      </c>
      <c r="H132" t="s">
        <v>21</v>
      </c>
      <c r="I132">
        <v>24661</v>
      </c>
      <c r="J132">
        <v>3</v>
      </c>
      <c r="K132">
        <v>0</v>
      </c>
      <c r="L132">
        <v>73983</v>
      </c>
      <c r="M132">
        <f t="shared" si="4"/>
        <v>2025</v>
      </c>
      <c r="N132">
        <f t="shared" si="5"/>
        <v>1</v>
      </c>
    </row>
    <row r="133" spans="1:14" x14ac:dyDescent="0.3">
      <c r="A133">
        <v>1132</v>
      </c>
      <c r="B133" s="1">
        <v>45683</v>
      </c>
      <c r="C133" t="s">
        <v>31</v>
      </c>
      <c r="D133" t="s">
        <v>32</v>
      </c>
      <c r="E133" t="s">
        <v>14</v>
      </c>
      <c r="F133" t="s">
        <v>18</v>
      </c>
      <c r="G133" t="s">
        <v>20</v>
      </c>
      <c r="H133" t="s">
        <v>17</v>
      </c>
      <c r="I133">
        <v>62472</v>
      </c>
      <c r="J133">
        <v>2</v>
      </c>
      <c r="K133">
        <v>15</v>
      </c>
      <c r="L133">
        <v>106202</v>
      </c>
      <c r="M133">
        <f t="shared" si="4"/>
        <v>2025</v>
      </c>
      <c r="N133">
        <f t="shared" si="5"/>
        <v>1</v>
      </c>
    </row>
    <row r="134" spans="1:14" x14ac:dyDescent="0.3">
      <c r="A134">
        <v>1133</v>
      </c>
      <c r="B134" s="1">
        <v>45685</v>
      </c>
      <c r="C134" t="s">
        <v>31</v>
      </c>
      <c r="D134" t="s">
        <v>33</v>
      </c>
      <c r="E134" t="s">
        <v>14</v>
      </c>
      <c r="F134" t="s">
        <v>25</v>
      </c>
      <c r="G134" t="s">
        <v>19</v>
      </c>
      <c r="H134" t="s">
        <v>17</v>
      </c>
      <c r="I134">
        <v>23348</v>
      </c>
      <c r="J134">
        <v>2</v>
      </c>
      <c r="K134">
        <v>0</v>
      </c>
      <c r="L134">
        <v>46696</v>
      </c>
      <c r="M134">
        <f t="shared" si="4"/>
        <v>2025</v>
      </c>
      <c r="N134">
        <f t="shared" si="5"/>
        <v>1</v>
      </c>
    </row>
    <row r="135" spans="1:14" x14ac:dyDescent="0.3">
      <c r="A135">
        <v>1134</v>
      </c>
      <c r="B135" s="1">
        <v>45662</v>
      </c>
      <c r="C135" t="s">
        <v>28</v>
      </c>
      <c r="D135" t="s">
        <v>34</v>
      </c>
      <c r="E135" t="s">
        <v>14</v>
      </c>
      <c r="F135" t="s">
        <v>25</v>
      </c>
      <c r="G135" t="s">
        <v>19</v>
      </c>
      <c r="H135" t="s">
        <v>21</v>
      </c>
      <c r="I135">
        <v>22633</v>
      </c>
      <c r="J135">
        <v>1</v>
      </c>
      <c r="K135">
        <v>10</v>
      </c>
      <c r="L135">
        <v>20369</v>
      </c>
      <c r="M135">
        <f t="shared" si="4"/>
        <v>2025</v>
      </c>
      <c r="N135">
        <f t="shared" si="5"/>
        <v>1</v>
      </c>
    </row>
    <row r="136" spans="1:14" x14ac:dyDescent="0.3">
      <c r="A136">
        <v>1135</v>
      </c>
      <c r="B136" s="1">
        <v>45698</v>
      </c>
      <c r="C136" t="s">
        <v>28</v>
      </c>
      <c r="D136" t="s">
        <v>29</v>
      </c>
      <c r="E136" t="s">
        <v>14</v>
      </c>
      <c r="F136" t="s">
        <v>15</v>
      </c>
      <c r="G136" t="s">
        <v>20</v>
      </c>
      <c r="H136" t="s">
        <v>17</v>
      </c>
      <c r="I136">
        <v>19046</v>
      </c>
      <c r="J136">
        <v>2</v>
      </c>
      <c r="K136">
        <v>10</v>
      </c>
      <c r="L136">
        <v>34282</v>
      </c>
      <c r="M136">
        <f t="shared" si="4"/>
        <v>2025</v>
      </c>
      <c r="N136">
        <f t="shared" si="5"/>
        <v>2</v>
      </c>
    </row>
    <row r="137" spans="1:14" x14ac:dyDescent="0.3">
      <c r="A137">
        <v>1136</v>
      </c>
      <c r="B137" s="1">
        <v>45663</v>
      </c>
      <c r="C137" t="s">
        <v>31</v>
      </c>
      <c r="D137" t="s">
        <v>33</v>
      </c>
      <c r="E137" t="s">
        <v>14</v>
      </c>
      <c r="F137" t="s">
        <v>15</v>
      </c>
      <c r="G137" t="s">
        <v>20</v>
      </c>
      <c r="H137" t="s">
        <v>17</v>
      </c>
      <c r="I137">
        <v>19430</v>
      </c>
      <c r="J137">
        <v>1</v>
      </c>
      <c r="K137">
        <v>5</v>
      </c>
      <c r="L137">
        <v>18458</v>
      </c>
      <c r="M137">
        <f t="shared" si="4"/>
        <v>2025</v>
      </c>
      <c r="N137">
        <f t="shared" si="5"/>
        <v>1</v>
      </c>
    </row>
    <row r="138" spans="1:14" x14ac:dyDescent="0.3">
      <c r="A138">
        <v>1137</v>
      </c>
      <c r="B138" s="1">
        <v>45670</v>
      </c>
      <c r="C138" t="s">
        <v>31</v>
      </c>
      <c r="D138" t="s">
        <v>33</v>
      </c>
      <c r="E138" t="s">
        <v>14</v>
      </c>
      <c r="F138" t="s">
        <v>25</v>
      </c>
      <c r="G138" t="s">
        <v>26</v>
      </c>
      <c r="H138" t="s">
        <v>21</v>
      </c>
      <c r="I138">
        <v>29143</v>
      </c>
      <c r="J138">
        <v>2</v>
      </c>
      <c r="K138">
        <v>0</v>
      </c>
      <c r="L138">
        <v>58286</v>
      </c>
      <c r="M138">
        <f t="shared" si="4"/>
        <v>2025</v>
      </c>
      <c r="N138">
        <f t="shared" si="5"/>
        <v>1</v>
      </c>
    </row>
    <row r="139" spans="1:14" x14ac:dyDescent="0.3">
      <c r="A139">
        <v>1138</v>
      </c>
      <c r="B139" s="1">
        <v>45684</v>
      </c>
      <c r="C139" t="s">
        <v>28</v>
      </c>
      <c r="D139" t="s">
        <v>34</v>
      </c>
      <c r="E139" t="s">
        <v>14</v>
      </c>
      <c r="F139" t="s">
        <v>18</v>
      </c>
      <c r="G139" t="s">
        <v>19</v>
      </c>
      <c r="H139" t="s">
        <v>17</v>
      </c>
      <c r="I139">
        <v>55473</v>
      </c>
      <c r="J139">
        <v>2</v>
      </c>
      <c r="K139">
        <v>10</v>
      </c>
      <c r="L139">
        <v>99851</v>
      </c>
      <c r="M139">
        <f t="shared" si="4"/>
        <v>2025</v>
      </c>
      <c r="N139">
        <f t="shared" si="5"/>
        <v>1</v>
      </c>
    </row>
    <row r="140" spans="1:14" x14ac:dyDescent="0.3">
      <c r="A140">
        <v>1139</v>
      </c>
      <c r="B140" s="1">
        <v>45664</v>
      </c>
      <c r="C140" t="s">
        <v>31</v>
      </c>
      <c r="D140" t="s">
        <v>32</v>
      </c>
      <c r="E140" t="s">
        <v>14</v>
      </c>
      <c r="F140" t="s">
        <v>25</v>
      </c>
      <c r="G140" t="s">
        <v>16</v>
      </c>
      <c r="H140" t="s">
        <v>17</v>
      </c>
      <c r="I140">
        <v>21680</v>
      </c>
      <c r="J140">
        <v>2</v>
      </c>
      <c r="K140">
        <v>5</v>
      </c>
      <c r="L140">
        <v>41192</v>
      </c>
      <c r="M140">
        <f t="shared" si="4"/>
        <v>2025</v>
      </c>
      <c r="N140">
        <f t="shared" si="5"/>
        <v>1</v>
      </c>
    </row>
    <row r="141" spans="1:14" x14ac:dyDescent="0.3">
      <c r="A141">
        <v>1140</v>
      </c>
      <c r="B141" s="1">
        <v>45678</v>
      </c>
      <c r="C141" t="s">
        <v>12</v>
      </c>
      <c r="D141" t="s">
        <v>13</v>
      </c>
      <c r="E141" t="s">
        <v>14</v>
      </c>
      <c r="F141" t="s">
        <v>18</v>
      </c>
      <c r="G141" t="s">
        <v>26</v>
      </c>
      <c r="H141" t="s">
        <v>21</v>
      </c>
      <c r="I141">
        <v>64654</v>
      </c>
      <c r="J141">
        <v>3</v>
      </c>
      <c r="K141">
        <v>10</v>
      </c>
      <c r="L141">
        <v>174565</v>
      </c>
      <c r="M141">
        <f t="shared" si="4"/>
        <v>2025</v>
      </c>
      <c r="N141">
        <f t="shared" si="5"/>
        <v>1</v>
      </c>
    </row>
    <row r="142" spans="1:14" x14ac:dyDescent="0.3">
      <c r="A142">
        <v>1141</v>
      </c>
      <c r="B142" s="1">
        <v>45703</v>
      </c>
      <c r="C142" t="s">
        <v>31</v>
      </c>
      <c r="D142" t="s">
        <v>32</v>
      </c>
      <c r="E142" t="s">
        <v>14</v>
      </c>
      <c r="F142" t="s">
        <v>18</v>
      </c>
      <c r="G142" t="s">
        <v>26</v>
      </c>
      <c r="H142" t="s">
        <v>17</v>
      </c>
      <c r="I142">
        <v>57498</v>
      </c>
      <c r="J142">
        <v>1</v>
      </c>
      <c r="K142">
        <v>15</v>
      </c>
      <c r="L142">
        <v>48873</v>
      </c>
      <c r="M142">
        <f t="shared" si="4"/>
        <v>2025</v>
      </c>
      <c r="N142">
        <f t="shared" si="5"/>
        <v>2</v>
      </c>
    </row>
    <row r="143" spans="1:14" x14ac:dyDescent="0.3">
      <c r="A143">
        <v>1142</v>
      </c>
      <c r="B143" s="1">
        <v>45683</v>
      </c>
      <c r="C143" t="s">
        <v>28</v>
      </c>
      <c r="D143" t="s">
        <v>29</v>
      </c>
      <c r="E143" t="s">
        <v>14</v>
      </c>
      <c r="F143" t="s">
        <v>25</v>
      </c>
      <c r="G143" t="s">
        <v>19</v>
      </c>
      <c r="H143" t="s">
        <v>21</v>
      </c>
      <c r="I143">
        <v>26703</v>
      </c>
      <c r="J143">
        <v>2</v>
      </c>
      <c r="K143">
        <v>15</v>
      </c>
      <c r="L143">
        <v>45395</v>
      </c>
      <c r="M143">
        <f t="shared" si="4"/>
        <v>2025</v>
      </c>
      <c r="N143">
        <f t="shared" si="5"/>
        <v>1</v>
      </c>
    </row>
    <row r="144" spans="1:14" x14ac:dyDescent="0.3">
      <c r="A144">
        <v>1143</v>
      </c>
      <c r="B144" s="1">
        <v>45678</v>
      </c>
      <c r="C144" t="s">
        <v>28</v>
      </c>
      <c r="D144" t="s">
        <v>34</v>
      </c>
      <c r="E144" t="s">
        <v>14</v>
      </c>
      <c r="F144" t="s">
        <v>15</v>
      </c>
      <c r="G144" t="s">
        <v>26</v>
      </c>
      <c r="H144" t="s">
        <v>21</v>
      </c>
      <c r="I144">
        <v>20769</v>
      </c>
      <c r="J144">
        <v>1</v>
      </c>
      <c r="K144">
        <v>0</v>
      </c>
      <c r="L144">
        <v>20769</v>
      </c>
      <c r="M144">
        <f t="shared" si="4"/>
        <v>2025</v>
      </c>
      <c r="N144">
        <f t="shared" si="5"/>
        <v>1</v>
      </c>
    </row>
    <row r="145" spans="1:14" x14ac:dyDescent="0.3">
      <c r="A145">
        <v>1144</v>
      </c>
      <c r="B145" s="1">
        <v>45694</v>
      </c>
      <c r="C145" t="s">
        <v>22</v>
      </c>
      <c r="D145" t="s">
        <v>23</v>
      </c>
      <c r="E145" t="s">
        <v>14</v>
      </c>
      <c r="F145" t="s">
        <v>25</v>
      </c>
      <c r="G145" t="s">
        <v>19</v>
      </c>
      <c r="H145" t="s">
        <v>21</v>
      </c>
      <c r="I145">
        <v>21414</v>
      </c>
      <c r="J145">
        <v>3</v>
      </c>
      <c r="K145">
        <v>15</v>
      </c>
      <c r="L145">
        <v>54605</v>
      </c>
      <c r="M145">
        <f t="shared" si="4"/>
        <v>2025</v>
      </c>
      <c r="N145">
        <f t="shared" si="5"/>
        <v>2</v>
      </c>
    </row>
    <row r="146" spans="1:14" x14ac:dyDescent="0.3">
      <c r="A146">
        <v>1145</v>
      </c>
      <c r="B146" s="1">
        <v>45661</v>
      </c>
      <c r="C146" t="s">
        <v>28</v>
      </c>
      <c r="D146" t="s">
        <v>34</v>
      </c>
      <c r="E146" t="s">
        <v>14</v>
      </c>
      <c r="F146" t="s">
        <v>15</v>
      </c>
      <c r="G146" t="s">
        <v>26</v>
      </c>
      <c r="H146" t="s">
        <v>17</v>
      </c>
      <c r="I146">
        <v>22132</v>
      </c>
      <c r="J146">
        <v>3</v>
      </c>
      <c r="K146">
        <v>15</v>
      </c>
      <c r="L146">
        <v>56436</v>
      </c>
      <c r="M146">
        <f t="shared" si="4"/>
        <v>2025</v>
      </c>
      <c r="N146">
        <f t="shared" si="5"/>
        <v>1</v>
      </c>
    </row>
    <row r="147" spans="1:14" x14ac:dyDescent="0.3">
      <c r="A147">
        <v>1146</v>
      </c>
      <c r="B147" s="1">
        <v>45716</v>
      </c>
      <c r="C147" t="s">
        <v>31</v>
      </c>
      <c r="D147" t="s">
        <v>33</v>
      </c>
      <c r="E147" t="s">
        <v>14</v>
      </c>
      <c r="F147" t="s">
        <v>25</v>
      </c>
      <c r="G147" t="s">
        <v>20</v>
      </c>
      <c r="H147" t="s">
        <v>21</v>
      </c>
      <c r="I147">
        <v>23367</v>
      </c>
      <c r="J147">
        <v>2</v>
      </c>
      <c r="K147">
        <v>10</v>
      </c>
      <c r="L147">
        <v>42060</v>
      </c>
      <c r="M147">
        <f t="shared" si="4"/>
        <v>2025</v>
      </c>
      <c r="N147">
        <f t="shared" si="5"/>
        <v>2</v>
      </c>
    </row>
    <row r="148" spans="1:14" x14ac:dyDescent="0.3">
      <c r="A148">
        <v>1147</v>
      </c>
      <c r="B148" s="1">
        <v>45683</v>
      </c>
      <c r="C148" t="s">
        <v>28</v>
      </c>
      <c r="D148" t="s">
        <v>34</v>
      </c>
      <c r="E148" t="s">
        <v>14</v>
      </c>
      <c r="F148" t="s">
        <v>25</v>
      </c>
      <c r="G148" t="s">
        <v>19</v>
      </c>
      <c r="H148" t="s">
        <v>17</v>
      </c>
      <c r="I148">
        <v>28226</v>
      </c>
      <c r="J148">
        <v>1</v>
      </c>
      <c r="K148">
        <v>10</v>
      </c>
      <c r="L148">
        <v>25403</v>
      </c>
      <c r="M148">
        <f t="shared" si="4"/>
        <v>2025</v>
      </c>
      <c r="N148">
        <f t="shared" si="5"/>
        <v>1</v>
      </c>
    </row>
    <row r="149" spans="1:14" x14ac:dyDescent="0.3">
      <c r="A149">
        <v>1148</v>
      </c>
      <c r="B149" s="1">
        <v>45704</v>
      </c>
      <c r="C149" t="s">
        <v>28</v>
      </c>
      <c r="D149" t="s">
        <v>34</v>
      </c>
      <c r="E149" t="s">
        <v>14</v>
      </c>
      <c r="F149" t="s">
        <v>25</v>
      </c>
      <c r="G149" t="s">
        <v>20</v>
      </c>
      <c r="H149" t="s">
        <v>21</v>
      </c>
      <c r="I149">
        <v>29271</v>
      </c>
      <c r="J149">
        <v>3</v>
      </c>
      <c r="K149">
        <v>5</v>
      </c>
      <c r="L149">
        <v>83422</v>
      </c>
      <c r="M149">
        <f t="shared" si="4"/>
        <v>2025</v>
      </c>
      <c r="N149">
        <f t="shared" si="5"/>
        <v>2</v>
      </c>
    </row>
    <row r="150" spans="1:14" x14ac:dyDescent="0.3">
      <c r="A150">
        <v>1149</v>
      </c>
      <c r="B150" s="1">
        <v>45681</v>
      </c>
      <c r="C150" t="s">
        <v>12</v>
      </c>
      <c r="D150" t="s">
        <v>24</v>
      </c>
      <c r="E150" t="s">
        <v>14</v>
      </c>
      <c r="F150" t="s">
        <v>25</v>
      </c>
      <c r="G150" t="s">
        <v>16</v>
      </c>
      <c r="H150" t="s">
        <v>17</v>
      </c>
      <c r="I150">
        <v>25643</v>
      </c>
      <c r="J150">
        <v>1</v>
      </c>
      <c r="K150">
        <v>10</v>
      </c>
      <c r="L150">
        <v>23078</v>
      </c>
      <c r="M150">
        <f t="shared" si="4"/>
        <v>2025</v>
      </c>
      <c r="N150">
        <f t="shared" si="5"/>
        <v>1</v>
      </c>
    </row>
    <row r="151" spans="1:14" x14ac:dyDescent="0.3">
      <c r="A151">
        <v>1150</v>
      </c>
      <c r="B151" s="1">
        <v>45706</v>
      </c>
      <c r="C151" t="s">
        <v>22</v>
      </c>
      <c r="D151" t="s">
        <v>23</v>
      </c>
      <c r="E151" t="s">
        <v>14</v>
      </c>
      <c r="F151" t="s">
        <v>15</v>
      </c>
      <c r="G151" t="s">
        <v>26</v>
      </c>
      <c r="H151" t="s">
        <v>17</v>
      </c>
      <c r="I151">
        <v>21700</v>
      </c>
      <c r="J151">
        <v>2</v>
      </c>
      <c r="K151">
        <v>0</v>
      </c>
      <c r="L151">
        <v>43400</v>
      </c>
      <c r="M151">
        <f t="shared" si="4"/>
        <v>2025</v>
      </c>
      <c r="N151">
        <f t="shared" si="5"/>
        <v>2</v>
      </c>
    </row>
    <row r="152" spans="1:14" x14ac:dyDescent="0.3">
      <c r="A152">
        <v>1151</v>
      </c>
      <c r="B152" s="1">
        <v>45699</v>
      </c>
      <c r="C152" t="s">
        <v>28</v>
      </c>
      <c r="D152" t="s">
        <v>30</v>
      </c>
      <c r="E152" t="s">
        <v>14</v>
      </c>
      <c r="F152" t="s">
        <v>15</v>
      </c>
      <c r="G152" t="s">
        <v>16</v>
      </c>
      <c r="H152" t="s">
        <v>17</v>
      </c>
      <c r="I152">
        <v>23590</v>
      </c>
      <c r="J152">
        <v>3</v>
      </c>
      <c r="K152">
        <v>5</v>
      </c>
      <c r="L152">
        <v>67231</v>
      </c>
      <c r="M152">
        <f t="shared" si="4"/>
        <v>2025</v>
      </c>
      <c r="N152">
        <f t="shared" si="5"/>
        <v>2</v>
      </c>
    </row>
    <row r="153" spans="1:14" x14ac:dyDescent="0.3">
      <c r="A153">
        <v>1152</v>
      </c>
      <c r="B153" s="1">
        <v>45678</v>
      </c>
      <c r="C153" t="s">
        <v>22</v>
      </c>
      <c r="D153" t="s">
        <v>27</v>
      </c>
      <c r="E153" t="s">
        <v>14</v>
      </c>
      <c r="F153" t="s">
        <v>18</v>
      </c>
      <c r="G153" t="s">
        <v>26</v>
      </c>
      <c r="H153" t="s">
        <v>17</v>
      </c>
      <c r="I153">
        <v>55065</v>
      </c>
      <c r="J153">
        <v>3</v>
      </c>
      <c r="K153">
        <v>15</v>
      </c>
      <c r="L153">
        <v>140415</v>
      </c>
      <c r="M153">
        <f t="shared" si="4"/>
        <v>2025</v>
      </c>
      <c r="N153">
        <f t="shared" si="5"/>
        <v>1</v>
      </c>
    </row>
    <row r="154" spans="1:14" x14ac:dyDescent="0.3">
      <c r="A154">
        <v>1153</v>
      </c>
      <c r="B154" s="1">
        <v>45713</v>
      </c>
      <c r="C154" t="s">
        <v>12</v>
      </c>
      <c r="D154" t="s">
        <v>13</v>
      </c>
      <c r="E154" t="s">
        <v>14</v>
      </c>
      <c r="F154" t="s">
        <v>18</v>
      </c>
      <c r="G154" t="s">
        <v>16</v>
      </c>
      <c r="H154" t="s">
        <v>21</v>
      </c>
      <c r="I154">
        <v>63120</v>
      </c>
      <c r="J154">
        <v>3</v>
      </c>
      <c r="K154">
        <v>15</v>
      </c>
      <c r="L154">
        <v>160956</v>
      </c>
      <c r="M154">
        <f t="shared" si="4"/>
        <v>2025</v>
      </c>
      <c r="N154">
        <f t="shared" si="5"/>
        <v>2</v>
      </c>
    </row>
    <row r="155" spans="1:14" x14ac:dyDescent="0.3">
      <c r="A155">
        <v>1154</v>
      </c>
      <c r="B155" s="1">
        <v>45672</v>
      </c>
      <c r="C155" t="s">
        <v>22</v>
      </c>
      <c r="D155" t="s">
        <v>23</v>
      </c>
      <c r="E155" t="s">
        <v>14</v>
      </c>
      <c r="F155" t="s">
        <v>18</v>
      </c>
      <c r="G155" t="s">
        <v>20</v>
      </c>
      <c r="H155" t="s">
        <v>21</v>
      </c>
      <c r="I155">
        <v>64363</v>
      </c>
      <c r="J155">
        <v>3</v>
      </c>
      <c r="K155">
        <v>15</v>
      </c>
      <c r="L155">
        <v>164125</v>
      </c>
      <c r="M155">
        <f t="shared" si="4"/>
        <v>2025</v>
      </c>
      <c r="N155">
        <f t="shared" si="5"/>
        <v>1</v>
      </c>
    </row>
    <row r="156" spans="1:14" x14ac:dyDescent="0.3">
      <c r="A156">
        <v>1155</v>
      </c>
      <c r="B156" s="1">
        <v>45682</v>
      </c>
      <c r="C156" t="s">
        <v>22</v>
      </c>
      <c r="D156" t="s">
        <v>27</v>
      </c>
      <c r="E156" t="s">
        <v>14</v>
      </c>
      <c r="F156" t="s">
        <v>18</v>
      </c>
      <c r="G156" t="s">
        <v>20</v>
      </c>
      <c r="H156" t="s">
        <v>21</v>
      </c>
      <c r="I156">
        <v>58651</v>
      </c>
      <c r="J156">
        <v>2</v>
      </c>
      <c r="K156">
        <v>0</v>
      </c>
      <c r="L156">
        <v>117302</v>
      </c>
      <c r="M156">
        <f t="shared" si="4"/>
        <v>2025</v>
      </c>
      <c r="N156">
        <f t="shared" si="5"/>
        <v>1</v>
      </c>
    </row>
    <row r="157" spans="1:14" x14ac:dyDescent="0.3">
      <c r="A157">
        <v>1156</v>
      </c>
      <c r="B157" s="1">
        <v>45664</v>
      </c>
      <c r="C157" t="s">
        <v>22</v>
      </c>
      <c r="D157" t="s">
        <v>23</v>
      </c>
      <c r="E157" t="s">
        <v>14</v>
      </c>
      <c r="F157" t="s">
        <v>15</v>
      </c>
      <c r="G157" t="s">
        <v>16</v>
      </c>
      <c r="H157" t="s">
        <v>21</v>
      </c>
      <c r="I157">
        <v>22331</v>
      </c>
      <c r="J157">
        <v>1</v>
      </c>
      <c r="K157">
        <v>10</v>
      </c>
      <c r="L157">
        <v>20097</v>
      </c>
      <c r="M157">
        <f t="shared" si="4"/>
        <v>2025</v>
      </c>
      <c r="N157">
        <f t="shared" si="5"/>
        <v>1</v>
      </c>
    </row>
    <row r="158" spans="1:14" x14ac:dyDescent="0.3">
      <c r="A158">
        <v>1157</v>
      </c>
      <c r="B158" s="1">
        <v>45707</v>
      </c>
      <c r="C158" t="s">
        <v>22</v>
      </c>
      <c r="D158" t="s">
        <v>23</v>
      </c>
      <c r="E158" t="s">
        <v>14</v>
      </c>
      <c r="F158" t="s">
        <v>18</v>
      </c>
      <c r="G158" t="s">
        <v>19</v>
      </c>
      <c r="H158" t="s">
        <v>17</v>
      </c>
      <c r="I158">
        <v>61641</v>
      </c>
      <c r="J158">
        <v>3</v>
      </c>
      <c r="K158">
        <v>5</v>
      </c>
      <c r="L158">
        <v>175676</v>
      </c>
      <c r="M158">
        <f t="shared" si="4"/>
        <v>2025</v>
      </c>
      <c r="N158">
        <f t="shared" si="5"/>
        <v>2</v>
      </c>
    </row>
    <row r="159" spans="1:14" x14ac:dyDescent="0.3">
      <c r="A159">
        <v>1158</v>
      </c>
      <c r="B159" s="1">
        <v>45707</v>
      </c>
      <c r="C159" t="s">
        <v>28</v>
      </c>
      <c r="D159" t="s">
        <v>29</v>
      </c>
      <c r="E159" t="s">
        <v>14</v>
      </c>
      <c r="F159" t="s">
        <v>18</v>
      </c>
      <c r="G159" t="s">
        <v>16</v>
      </c>
      <c r="H159" t="s">
        <v>21</v>
      </c>
      <c r="I159">
        <v>62453</v>
      </c>
      <c r="J159">
        <v>3</v>
      </c>
      <c r="K159">
        <v>10</v>
      </c>
      <c r="L159">
        <v>168623</v>
      </c>
      <c r="M159">
        <f t="shared" si="4"/>
        <v>2025</v>
      </c>
      <c r="N159">
        <f t="shared" si="5"/>
        <v>2</v>
      </c>
    </row>
    <row r="160" spans="1:14" x14ac:dyDescent="0.3">
      <c r="A160">
        <v>1159</v>
      </c>
      <c r="B160" s="1">
        <v>45684</v>
      </c>
      <c r="C160" t="s">
        <v>12</v>
      </c>
      <c r="D160" t="s">
        <v>24</v>
      </c>
      <c r="E160" t="s">
        <v>14</v>
      </c>
      <c r="F160" t="s">
        <v>25</v>
      </c>
      <c r="G160" t="s">
        <v>16</v>
      </c>
      <c r="H160" t="s">
        <v>17</v>
      </c>
      <c r="I160">
        <v>23972</v>
      </c>
      <c r="J160">
        <v>3</v>
      </c>
      <c r="K160">
        <v>10</v>
      </c>
      <c r="L160">
        <v>64724</v>
      </c>
      <c r="M160">
        <f t="shared" si="4"/>
        <v>2025</v>
      </c>
      <c r="N160">
        <f t="shared" si="5"/>
        <v>1</v>
      </c>
    </row>
    <row r="161" spans="1:14" x14ac:dyDescent="0.3">
      <c r="A161">
        <v>1160</v>
      </c>
      <c r="B161" s="1">
        <v>45708</v>
      </c>
      <c r="C161" t="s">
        <v>28</v>
      </c>
      <c r="D161" t="s">
        <v>34</v>
      </c>
      <c r="E161" t="s">
        <v>14</v>
      </c>
      <c r="F161" t="s">
        <v>15</v>
      </c>
      <c r="G161" t="s">
        <v>20</v>
      </c>
      <c r="H161" t="s">
        <v>21</v>
      </c>
      <c r="I161">
        <v>23897</v>
      </c>
      <c r="J161">
        <v>1</v>
      </c>
      <c r="K161">
        <v>0</v>
      </c>
      <c r="L161">
        <v>23897</v>
      </c>
      <c r="M161">
        <f t="shared" si="4"/>
        <v>2025</v>
      </c>
      <c r="N161">
        <f t="shared" si="5"/>
        <v>2</v>
      </c>
    </row>
    <row r="162" spans="1:14" x14ac:dyDescent="0.3">
      <c r="A162">
        <v>1161</v>
      </c>
      <c r="B162" s="1">
        <v>45664</v>
      </c>
      <c r="C162" t="s">
        <v>31</v>
      </c>
      <c r="D162" t="s">
        <v>32</v>
      </c>
      <c r="E162" t="s">
        <v>14</v>
      </c>
      <c r="F162" t="s">
        <v>18</v>
      </c>
      <c r="G162" t="s">
        <v>19</v>
      </c>
      <c r="H162" t="s">
        <v>17</v>
      </c>
      <c r="I162">
        <v>61559</v>
      </c>
      <c r="J162">
        <v>2</v>
      </c>
      <c r="K162">
        <v>15</v>
      </c>
      <c r="L162">
        <v>104650</v>
      </c>
      <c r="M162">
        <f t="shared" si="4"/>
        <v>2025</v>
      </c>
      <c r="N162">
        <f t="shared" si="5"/>
        <v>1</v>
      </c>
    </row>
    <row r="163" spans="1:14" x14ac:dyDescent="0.3">
      <c r="A163">
        <v>1162</v>
      </c>
      <c r="B163" s="1">
        <v>45671</v>
      </c>
      <c r="C163" t="s">
        <v>31</v>
      </c>
      <c r="D163" t="s">
        <v>32</v>
      </c>
      <c r="E163" t="s">
        <v>14</v>
      </c>
      <c r="F163" t="s">
        <v>15</v>
      </c>
      <c r="G163" t="s">
        <v>16</v>
      </c>
      <c r="H163" t="s">
        <v>17</v>
      </c>
      <c r="I163">
        <v>19607</v>
      </c>
      <c r="J163">
        <v>2</v>
      </c>
      <c r="K163">
        <v>15</v>
      </c>
      <c r="L163">
        <v>33331</v>
      </c>
      <c r="M163">
        <f t="shared" si="4"/>
        <v>2025</v>
      </c>
      <c r="N163">
        <f t="shared" si="5"/>
        <v>1</v>
      </c>
    </row>
    <row r="164" spans="1:14" x14ac:dyDescent="0.3">
      <c r="A164">
        <v>1163</v>
      </c>
      <c r="B164" s="1">
        <v>45700</v>
      </c>
      <c r="C164" t="s">
        <v>12</v>
      </c>
      <c r="D164" t="s">
        <v>24</v>
      </c>
      <c r="E164" t="s">
        <v>14</v>
      </c>
      <c r="F164" t="s">
        <v>18</v>
      </c>
      <c r="G164" t="s">
        <v>20</v>
      </c>
      <c r="H164" t="s">
        <v>21</v>
      </c>
      <c r="I164">
        <v>60153</v>
      </c>
      <c r="J164">
        <v>3</v>
      </c>
      <c r="K164">
        <v>5</v>
      </c>
      <c r="L164">
        <v>171436</v>
      </c>
      <c r="M164">
        <f t="shared" si="4"/>
        <v>2025</v>
      </c>
      <c r="N164">
        <f t="shared" si="5"/>
        <v>2</v>
      </c>
    </row>
    <row r="165" spans="1:14" x14ac:dyDescent="0.3">
      <c r="A165">
        <v>1164</v>
      </c>
      <c r="B165" s="1">
        <v>45705</v>
      </c>
      <c r="C165" t="s">
        <v>28</v>
      </c>
      <c r="D165" t="s">
        <v>29</v>
      </c>
      <c r="E165" t="s">
        <v>14</v>
      </c>
      <c r="F165" t="s">
        <v>25</v>
      </c>
      <c r="G165" t="s">
        <v>20</v>
      </c>
      <c r="H165" t="s">
        <v>21</v>
      </c>
      <c r="I165">
        <v>21845</v>
      </c>
      <c r="J165">
        <v>3</v>
      </c>
      <c r="K165">
        <v>10</v>
      </c>
      <c r="L165">
        <v>58981</v>
      </c>
      <c r="M165">
        <f t="shared" si="4"/>
        <v>2025</v>
      </c>
      <c r="N165">
        <f t="shared" si="5"/>
        <v>2</v>
      </c>
    </row>
    <row r="166" spans="1:14" x14ac:dyDescent="0.3">
      <c r="A166">
        <v>1165</v>
      </c>
      <c r="B166" s="1">
        <v>45709</v>
      </c>
      <c r="C166" t="s">
        <v>22</v>
      </c>
      <c r="D166" t="s">
        <v>23</v>
      </c>
      <c r="E166" t="s">
        <v>14</v>
      </c>
      <c r="F166" t="s">
        <v>15</v>
      </c>
      <c r="G166" t="s">
        <v>20</v>
      </c>
      <c r="H166" t="s">
        <v>17</v>
      </c>
      <c r="I166">
        <v>19489</v>
      </c>
      <c r="J166">
        <v>2</v>
      </c>
      <c r="K166">
        <v>15</v>
      </c>
      <c r="L166">
        <v>33131</v>
      </c>
      <c r="M166">
        <f t="shared" si="4"/>
        <v>2025</v>
      </c>
      <c r="N166">
        <f t="shared" si="5"/>
        <v>2</v>
      </c>
    </row>
    <row r="167" spans="1:14" x14ac:dyDescent="0.3">
      <c r="A167">
        <v>1166</v>
      </c>
      <c r="B167" s="1">
        <v>45679</v>
      </c>
      <c r="C167" t="s">
        <v>31</v>
      </c>
      <c r="D167" t="s">
        <v>33</v>
      </c>
      <c r="E167" t="s">
        <v>14</v>
      </c>
      <c r="F167" t="s">
        <v>18</v>
      </c>
      <c r="G167" t="s">
        <v>26</v>
      </c>
      <c r="H167" t="s">
        <v>21</v>
      </c>
      <c r="I167">
        <v>59766</v>
      </c>
      <c r="J167">
        <v>2</v>
      </c>
      <c r="K167">
        <v>5</v>
      </c>
      <c r="L167">
        <v>113555</v>
      </c>
      <c r="M167">
        <f t="shared" si="4"/>
        <v>2025</v>
      </c>
      <c r="N167">
        <f t="shared" si="5"/>
        <v>1</v>
      </c>
    </row>
    <row r="168" spans="1:14" x14ac:dyDescent="0.3">
      <c r="A168">
        <v>1167</v>
      </c>
      <c r="B168" s="1">
        <v>45689</v>
      </c>
      <c r="C168" t="s">
        <v>31</v>
      </c>
      <c r="D168" t="s">
        <v>32</v>
      </c>
      <c r="E168" t="s">
        <v>14</v>
      </c>
      <c r="F168" t="s">
        <v>18</v>
      </c>
      <c r="G168" t="s">
        <v>19</v>
      </c>
      <c r="H168" t="s">
        <v>21</v>
      </c>
      <c r="I168">
        <v>63170</v>
      </c>
      <c r="J168">
        <v>1</v>
      </c>
      <c r="K168">
        <v>5</v>
      </c>
      <c r="L168">
        <v>60011</v>
      </c>
      <c r="M168">
        <f t="shared" si="4"/>
        <v>2025</v>
      </c>
      <c r="N168">
        <f t="shared" si="5"/>
        <v>2</v>
      </c>
    </row>
    <row r="169" spans="1:14" x14ac:dyDescent="0.3">
      <c r="A169">
        <v>1168</v>
      </c>
      <c r="B169" s="1">
        <v>45658</v>
      </c>
      <c r="C169" t="s">
        <v>22</v>
      </c>
      <c r="D169" t="s">
        <v>23</v>
      </c>
      <c r="E169" t="s">
        <v>14</v>
      </c>
      <c r="F169" t="s">
        <v>18</v>
      </c>
      <c r="G169" t="s">
        <v>19</v>
      </c>
      <c r="H169" t="s">
        <v>21</v>
      </c>
      <c r="I169">
        <v>60331</v>
      </c>
      <c r="J169">
        <v>2</v>
      </c>
      <c r="K169">
        <v>0</v>
      </c>
      <c r="L169">
        <v>120662</v>
      </c>
      <c r="M169">
        <f t="shared" si="4"/>
        <v>2025</v>
      </c>
      <c r="N169">
        <f t="shared" si="5"/>
        <v>1</v>
      </c>
    </row>
    <row r="170" spans="1:14" x14ac:dyDescent="0.3">
      <c r="A170">
        <v>1169</v>
      </c>
      <c r="B170" s="1">
        <v>45702</v>
      </c>
      <c r="C170" t="s">
        <v>28</v>
      </c>
      <c r="D170" t="s">
        <v>34</v>
      </c>
      <c r="E170" t="s">
        <v>14</v>
      </c>
      <c r="F170" t="s">
        <v>18</v>
      </c>
      <c r="G170" t="s">
        <v>20</v>
      </c>
      <c r="H170" t="s">
        <v>17</v>
      </c>
      <c r="I170">
        <v>62306</v>
      </c>
      <c r="J170">
        <v>3</v>
      </c>
      <c r="K170">
        <v>10</v>
      </c>
      <c r="L170">
        <v>168226</v>
      </c>
      <c r="M170">
        <f t="shared" si="4"/>
        <v>2025</v>
      </c>
      <c r="N170">
        <f t="shared" si="5"/>
        <v>2</v>
      </c>
    </row>
    <row r="171" spans="1:14" x14ac:dyDescent="0.3">
      <c r="A171">
        <v>1170</v>
      </c>
      <c r="B171" s="1">
        <v>45671</v>
      </c>
      <c r="C171" t="s">
        <v>31</v>
      </c>
      <c r="D171" t="s">
        <v>32</v>
      </c>
      <c r="E171" t="s">
        <v>14</v>
      </c>
      <c r="F171" t="s">
        <v>15</v>
      </c>
      <c r="G171" t="s">
        <v>26</v>
      </c>
      <c r="H171" t="s">
        <v>21</v>
      </c>
      <c r="I171">
        <v>19610</v>
      </c>
      <c r="J171">
        <v>3</v>
      </c>
      <c r="K171">
        <v>15</v>
      </c>
      <c r="L171">
        <v>50005</v>
      </c>
      <c r="M171">
        <f t="shared" si="4"/>
        <v>2025</v>
      </c>
      <c r="N171">
        <f t="shared" si="5"/>
        <v>1</v>
      </c>
    </row>
    <row r="172" spans="1:14" x14ac:dyDescent="0.3">
      <c r="A172">
        <v>1171</v>
      </c>
      <c r="B172" s="1">
        <v>45677</v>
      </c>
      <c r="C172" t="s">
        <v>31</v>
      </c>
      <c r="D172" t="s">
        <v>33</v>
      </c>
      <c r="E172" t="s">
        <v>14</v>
      </c>
      <c r="F172" t="s">
        <v>18</v>
      </c>
      <c r="G172" t="s">
        <v>20</v>
      </c>
      <c r="H172" t="s">
        <v>21</v>
      </c>
      <c r="I172">
        <v>60509</v>
      </c>
      <c r="J172">
        <v>3</v>
      </c>
      <c r="K172">
        <v>15</v>
      </c>
      <c r="L172">
        <v>154297</v>
      </c>
      <c r="M172">
        <f t="shared" si="4"/>
        <v>2025</v>
      </c>
      <c r="N172">
        <f t="shared" si="5"/>
        <v>1</v>
      </c>
    </row>
    <row r="173" spans="1:14" x14ac:dyDescent="0.3">
      <c r="A173">
        <v>1172</v>
      </c>
      <c r="B173" s="1">
        <v>45677</v>
      </c>
      <c r="C173" t="s">
        <v>12</v>
      </c>
      <c r="D173" t="s">
        <v>24</v>
      </c>
      <c r="E173" t="s">
        <v>14</v>
      </c>
      <c r="F173" t="s">
        <v>15</v>
      </c>
      <c r="G173" t="s">
        <v>20</v>
      </c>
      <c r="H173" t="s">
        <v>21</v>
      </c>
      <c r="I173">
        <v>21041</v>
      </c>
      <c r="J173">
        <v>3</v>
      </c>
      <c r="K173">
        <v>15</v>
      </c>
      <c r="L173">
        <v>53654</v>
      </c>
      <c r="M173">
        <f t="shared" si="4"/>
        <v>2025</v>
      </c>
      <c r="N173">
        <f t="shared" si="5"/>
        <v>1</v>
      </c>
    </row>
    <row r="174" spans="1:14" x14ac:dyDescent="0.3">
      <c r="A174">
        <v>1173</v>
      </c>
      <c r="B174" s="1">
        <v>45704</v>
      </c>
      <c r="C174" t="s">
        <v>31</v>
      </c>
      <c r="D174" t="s">
        <v>32</v>
      </c>
      <c r="E174" t="s">
        <v>14</v>
      </c>
      <c r="F174" t="s">
        <v>18</v>
      </c>
      <c r="G174" t="s">
        <v>26</v>
      </c>
      <c r="H174" t="s">
        <v>21</v>
      </c>
      <c r="I174">
        <v>63937</v>
      </c>
      <c r="J174">
        <v>3</v>
      </c>
      <c r="K174">
        <v>10</v>
      </c>
      <c r="L174">
        <v>172629</v>
      </c>
      <c r="M174">
        <f t="shared" si="4"/>
        <v>2025</v>
      </c>
      <c r="N174">
        <f t="shared" si="5"/>
        <v>2</v>
      </c>
    </row>
    <row r="175" spans="1:14" x14ac:dyDescent="0.3">
      <c r="A175">
        <v>1174</v>
      </c>
      <c r="B175" s="1">
        <v>45664</v>
      </c>
      <c r="C175" t="s">
        <v>22</v>
      </c>
      <c r="D175" t="s">
        <v>27</v>
      </c>
      <c r="E175" t="s">
        <v>14</v>
      </c>
      <c r="F175" t="s">
        <v>15</v>
      </c>
      <c r="G175" t="s">
        <v>16</v>
      </c>
      <c r="H175" t="s">
        <v>21</v>
      </c>
      <c r="I175">
        <v>20334</v>
      </c>
      <c r="J175">
        <v>2</v>
      </c>
      <c r="K175">
        <v>0</v>
      </c>
      <c r="L175">
        <v>40668</v>
      </c>
      <c r="M175">
        <f t="shared" si="4"/>
        <v>2025</v>
      </c>
      <c r="N175">
        <f t="shared" si="5"/>
        <v>1</v>
      </c>
    </row>
    <row r="176" spans="1:14" x14ac:dyDescent="0.3">
      <c r="A176">
        <v>1175</v>
      </c>
      <c r="B176" s="1">
        <v>45683</v>
      </c>
      <c r="C176" t="s">
        <v>28</v>
      </c>
      <c r="D176" t="s">
        <v>29</v>
      </c>
      <c r="E176" t="s">
        <v>14</v>
      </c>
      <c r="F176" t="s">
        <v>18</v>
      </c>
      <c r="G176" t="s">
        <v>19</v>
      </c>
      <c r="H176" t="s">
        <v>21</v>
      </c>
      <c r="I176">
        <v>59849</v>
      </c>
      <c r="J176">
        <v>2</v>
      </c>
      <c r="K176">
        <v>5</v>
      </c>
      <c r="L176">
        <v>113713</v>
      </c>
      <c r="M176">
        <f t="shared" si="4"/>
        <v>2025</v>
      </c>
      <c r="N176">
        <f t="shared" si="5"/>
        <v>1</v>
      </c>
    </row>
    <row r="177" spans="1:14" x14ac:dyDescent="0.3">
      <c r="A177">
        <v>1176</v>
      </c>
      <c r="B177" s="1">
        <v>45678</v>
      </c>
      <c r="C177" t="s">
        <v>12</v>
      </c>
      <c r="D177" t="s">
        <v>24</v>
      </c>
      <c r="E177" t="s">
        <v>14</v>
      </c>
      <c r="F177" t="s">
        <v>15</v>
      </c>
      <c r="G177" t="s">
        <v>20</v>
      </c>
      <c r="H177" t="s">
        <v>17</v>
      </c>
      <c r="I177">
        <v>19682</v>
      </c>
      <c r="J177">
        <v>2</v>
      </c>
      <c r="K177">
        <v>0</v>
      </c>
      <c r="L177">
        <v>39364</v>
      </c>
      <c r="M177">
        <f t="shared" si="4"/>
        <v>2025</v>
      </c>
      <c r="N177">
        <f t="shared" si="5"/>
        <v>1</v>
      </c>
    </row>
    <row r="178" spans="1:14" x14ac:dyDescent="0.3">
      <c r="A178">
        <v>1177</v>
      </c>
      <c r="B178" s="1">
        <v>45717</v>
      </c>
      <c r="C178" t="s">
        <v>22</v>
      </c>
      <c r="D178" t="s">
        <v>27</v>
      </c>
      <c r="E178" t="s">
        <v>14</v>
      </c>
      <c r="F178" t="s">
        <v>15</v>
      </c>
      <c r="G178" t="s">
        <v>19</v>
      </c>
      <c r="H178" t="s">
        <v>17</v>
      </c>
      <c r="I178">
        <v>22873</v>
      </c>
      <c r="J178">
        <v>2</v>
      </c>
      <c r="K178">
        <v>10</v>
      </c>
      <c r="L178">
        <v>41171</v>
      </c>
      <c r="M178">
        <f t="shared" si="4"/>
        <v>2025</v>
      </c>
      <c r="N178">
        <f t="shared" si="5"/>
        <v>3</v>
      </c>
    </row>
    <row r="179" spans="1:14" x14ac:dyDescent="0.3">
      <c r="A179">
        <v>1178</v>
      </c>
      <c r="B179" s="1">
        <v>45702</v>
      </c>
      <c r="C179" t="s">
        <v>22</v>
      </c>
      <c r="D179" t="s">
        <v>27</v>
      </c>
      <c r="E179" t="s">
        <v>14</v>
      </c>
      <c r="F179" t="s">
        <v>15</v>
      </c>
      <c r="G179" t="s">
        <v>26</v>
      </c>
      <c r="H179" t="s">
        <v>17</v>
      </c>
      <c r="I179">
        <v>19386</v>
      </c>
      <c r="J179">
        <v>3</v>
      </c>
      <c r="K179">
        <v>10</v>
      </c>
      <c r="L179">
        <v>52342</v>
      </c>
      <c r="M179">
        <f t="shared" si="4"/>
        <v>2025</v>
      </c>
      <c r="N179">
        <f t="shared" si="5"/>
        <v>2</v>
      </c>
    </row>
    <row r="180" spans="1:14" x14ac:dyDescent="0.3">
      <c r="A180">
        <v>1179</v>
      </c>
      <c r="B180" s="1">
        <v>45718</v>
      </c>
      <c r="C180" t="s">
        <v>22</v>
      </c>
      <c r="D180" t="s">
        <v>27</v>
      </c>
      <c r="E180" t="s">
        <v>14</v>
      </c>
      <c r="F180" t="s">
        <v>15</v>
      </c>
      <c r="G180" t="s">
        <v>26</v>
      </c>
      <c r="H180" t="s">
        <v>17</v>
      </c>
      <c r="I180">
        <v>18799</v>
      </c>
      <c r="J180">
        <v>1</v>
      </c>
      <c r="K180">
        <v>10</v>
      </c>
      <c r="L180">
        <v>16919</v>
      </c>
      <c r="M180">
        <f t="shared" si="4"/>
        <v>2025</v>
      </c>
      <c r="N180">
        <f t="shared" si="5"/>
        <v>3</v>
      </c>
    </row>
    <row r="181" spans="1:14" x14ac:dyDescent="0.3">
      <c r="A181">
        <v>1180</v>
      </c>
      <c r="B181" s="1">
        <v>45696</v>
      </c>
      <c r="C181" t="s">
        <v>22</v>
      </c>
      <c r="D181" t="s">
        <v>23</v>
      </c>
      <c r="E181" t="s">
        <v>14</v>
      </c>
      <c r="F181" t="s">
        <v>18</v>
      </c>
      <c r="G181" t="s">
        <v>20</v>
      </c>
      <c r="H181" t="s">
        <v>17</v>
      </c>
      <c r="I181">
        <v>61670</v>
      </c>
      <c r="J181">
        <v>2</v>
      </c>
      <c r="K181">
        <v>10</v>
      </c>
      <c r="L181">
        <v>111006</v>
      </c>
      <c r="M181">
        <f t="shared" si="4"/>
        <v>2025</v>
      </c>
      <c r="N181">
        <f t="shared" si="5"/>
        <v>2</v>
      </c>
    </row>
    <row r="182" spans="1:14" x14ac:dyDescent="0.3">
      <c r="A182">
        <v>1181</v>
      </c>
      <c r="B182" s="1">
        <v>45693</v>
      </c>
      <c r="C182" t="s">
        <v>31</v>
      </c>
      <c r="D182" t="s">
        <v>33</v>
      </c>
      <c r="E182" t="s">
        <v>14</v>
      </c>
      <c r="F182" t="s">
        <v>18</v>
      </c>
      <c r="G182" t="s">
        <v>26</v>
      </c>
      <c r="H182" t="s">
        <v>17</v>
      </c>
      <c r="I182">
        <v>63111</v>
      </c>
      <c r="J182">
        <v>3</v>
      </c>
      <c r="K182">
        <v>5</v>
      </c>
      <c r="L182">
        <v>179866</v>
      </c>
      <c r="M182">
        <f t="shared" si="4"/>
        <v>2025</v>
      </c>
      <c r="N182">
        <f t="shared" si="5"/>
        <v>2</v>
      </c>
    </row>
    <row r="183" spans="1:14" x14ac:dyDescent="0.3">
      <c r="A183">
        <v>1182</v>
      </c>
      <c r="B183" s="1">
        <v>45699</v>
      </c>
      <c r="C183" t="s">
        <v>22</v>
      </c>
      <c r="D183" t="s">
        <v>23</v>
      </c>
      <c r="E183" t="s">
        <v>14</v>
      </c>
      <c r="F183" t="s">
        <v>15</v>
      </c>
      <c r="G183" t="s">
        <v>26</v>
      </c>
      <c r="H183" t="s">
        <v>21</v>
      </c>
      <c r="I183">
        <v>19762</v>
      </c>
      <c r="J183">
        <v>2</v>
      </c>
      <c r="K183">
        <v>0</v>
      </c>
      <c r="L183">
        <v>39524</v>
      </c>
      <c r="M183">
        <f t="shared" si="4"/>
        <v>2025</v>
      </c>
      <c r="N183">
        <f t="shared" si="5"/>
        <v>2</v>
      </c>
    </row>
    <row r="184" spans="1:14" x14ac:dyDescent="0.3">
      <c r="A184">
        <v>1183</v>
      </c>
      <c r="B184" s="1">
        <v>45688</v>
      </c>
      <c r="C184" t="s">
        <v>28</v>
      </c>
      <c r="D184" t="s">
        <v>34</v>
      </c>
      <c r="E184" t="s">
        <v>14</v>
      </c>
      <c r="F184" t="s">
        <v>15</v>
      </c>
      <c r="G184" t="s">
        <v>16</v>
      </c>
      <c r="H184" t="s">
        <v>21</v>
      </c>
      <c r="I184">
        <v>18095</v>
      </c>
      <c r="J184">
        <v>3</v>
      </c>
      <c r="K184">
        <v>5</v>
      </c>
      <c r="L184">
        <v>51570</v>
      </c>
      <c r="M184">
        <f t="shared" si="4"/>
        <v>2025</v>
      </c>
      <c r="N184">
        <f t="shared" si="5"/>
        <v>1</v>
      </c>
    </row>
    <row r="185" spans="1:14" x14ac:dyDescent="0.3">
      <c r="A185">
        <v>1184</v>
      </c>
      <c r="B185" s="1">
        <v>45718</v>
      </c>
      <c r="C185" t="s">
        <v>31</v>
      </c>
      <c r="D185" t="s">
        <v>33</v>
      </c>
      <c r="E185" t="s">
        <v>14</v>
      </c>
      <c r="F185" t="s">
        <v>15</v>
      </c>
      <c r="G185" t="s">
        <v>26</v>
      </c>
      <c r="H185" t="s">
        <v>21</v>
      </c>
      <c r="I185">
        <v>19231</v>
      </c>
      <c r="J185">
        <v>1</v>
      </c>
      <c r="K185">
        <v>0</v>
      </c>
      <c r="L185">
        <v>19231</v>
      </c>
      <c r="M185">
        <f t="shared" si="4"/>
        <v>2025</v>
      </c>
      <c r="N185">
        <f t="shared" si="5"/>
        <v>3</v>
      </c>
    </row>
    <row r="186" spans="1:14" x14ac:dyDescent="0.3">
      <c r="A186">
        <v>1185</v>
      </c>
      <c r="B186" s="1">
        <v>45658</v>
      </c>
      <c r="C186" t="s">
        <v>31</v>
      </c>
      <c r="D186" t="s">
        <v>33</v>
      </c>
      <c r="E186" t="s">
        <v>14</v>
      </c>
      <c r="F186" t="s">
        <v>15</v>
      </c>
      <c r="G186" t="s">
        <v>16</v>
      </c>
      <c r="H186" t="s">
        <v>21</v>
      </c>
      <c r="I186">
        <v>21481</v>
      </c>
      <c r="J186">
        <v>2</v>
      </c>
      <c r="K186">
        <v>15</v>
      </c>
      <c r="L186">
        <v>36517</v>
      </c>
      <c r="M186">
        <f t="shared" si="4"/>
        <v>2025</v>
      </c>
      <c r="N186">
        <f t="shared" si="5"/>
        <v>1</v>
      </c>
    </row>
    <row r="187" spans="1:14" x14ac:dyDescent="0.3">
      <c r="A187">
        <v>1186</v>
      </c>
      <c r="B187" s="1">
        <v>45703</v>
      </c>
      <c r="C187" t="s">
        <v>22</v>
      </c>
      <c r="D187" t="s">
        <v>23</v>
      </c>
      <c r="E187" t="s">
        <v>14</v>
      </c>
      <c r="F187" t="s">
        <v>15</v>
      </c>
      <c r="G187" t="s">
        <v>16</v>
      </c>
      <c r="H187" t="s">
        <v>17</v>
      </c>
      <c r="I187">
        <v>19830</v>
      </c>
      <c r="J187">
        <v>1</v>
      </c>
      <c r="K187">
        <v>5</v>
      </c>
      <c r="L187">
        <v>18838</v>
      </c>
      <c r="M187">
        <f t="shared" si="4"/>
        <v>2025</v>
      </c>
      <c r="N187">
        <f t="shared" si="5"/>
        <v>2</v>
      </c>
    </row>
    <row r="188" spans="1:14" x14ac:dyDescent="0.3">
      <c r="A188">
        <v>1187</v>
      </c>
      <c r="B188" s="1">
        <v>45679</v>
      </c>
      <c r="C188" t="s">
        <v>22</v>
      </c>
      <c r="D188" t="s">
        <v>23</v>
      </c>
      <c r="E188" t="s">
        <v>14</v>
      </c>
      <c r="F188" t="s">
        <v>25</v>
      </c>
      <c r="G188" t="s">
        <v>20</v>
      </c>
      <c r="H188" t="s">
        <v>21</v>
      </c>
      <c r="I188">
        <v>29171</v>
      </c>
      <c r="J188">
        <v>1</v>
      </c>
      <c r="K188">
        <v>15</v>
      </c>
      <c r="L188">
        <v>24795</v>
      </c>
      <c r="M188">
        <f t="shared" si="4"/>
        <v>2025</v>
      </c>
      <c r="N188">
        <f t="shared" si="5"/>
        <v>1</v>
      </c>
    </row>
    <row r="189" spans="1:14" x14ac:dyDescent="0.3">
      <c r="A189">
        <v>1188</v>
      </c>
      <c r="B189" s="1">
        <v>45692</v>
      </c>
      <c r="C189" t="s">
        <v>12</v>
      </c>
      <c r="D189" t="s">
        <v>13</v>
      </c>
      <c r="E189" t="s">
        <v>14</v>
      </c>
      <c r="F189" t="s">
        <v>25</v>
      </c>
      <c r="G189" t="s">
        <v>20</v>
      </c>
      <c r="H189" t="s">
        <v>17</v>
      </c>
      <c r="I189">
        <v>20211</v>
      </c>
      <c r="J189">
        <v>2</v>
      </c>
      <c r="K189">
        <v>10</v>
      </c>
      <c r="L189">
        <v>36379</v>
      </c>
      <c r="M189">
        <f t="shared" si="4"/>
        <v>2025</v>
      </c>
      <c r="N189">
        <f t="shared" si="5"/>
        <v>2</v>
      </c>
    </row>
    <row r="190" spans="1:14" x14ac:dyDescent="0.3">
      <c r="A190">
        <v>1189</v>
      </c>
      <c r="B190" s="1">
        <v>45671</v>
      </c>
      <c r="C190" t="s">
        <v>12</v>
      </c>
      <c r="D190" t="s">
        <v>13</v>
      </c>
      <c r="E190" t="s">
        <v>14</v>
      </c>
      <c r="F190" t="s">
        <v>25</v>
      </c>
      <c r="G190" t="s">
        <v>26</v>
      </c>
      <c r="H190" t="s">
        <v>21</v>
      </c>
      <c r="I190">
        <v>29317</v>
      </c>
      <c r="J190">
        <v>1</v>
      </c>
      <c r="K190">
        <v>10</v>
      </c>
      <c r="L190">
        <v>26385</v>
      </c>
      <c r="M190">
        <f t="shared" si="4"/>
        <v>2025</v>
      </c>
      <c r="N190">
        <f t="shared" si="5"/>
        <v>1</v>
      </c>
    </row>
    <row r="191" spans="1:14" x14ac:dyDescent="0.3">
      <c r="A191">
        <v>1190</v>
      </c>
      <c r="B191" s="1">
        <v>45697</v>
      </c>
      <c r="C191" t="s">
        <v>31</v>
      </c>
      <c r="D191" t="s">
        <v>32</v>
      </c>
      <c r="E191" t="s">
        <v>14</v>
      </c>
      <c r="F191" t="s">
        <v>25</v>
      </c>
      <c r="G191" t="s">
        <v>20</v>
      </c>
      <c r="H191" t="s">
        <v>17</v>
      </c>
      <c r="I191">
        <v>23154</v>
      </c>
      <c r="J191">
        <v>2</v>
      </c>
      <c r="K191">
        <v>15</v>
      </c>
      <c r="L191">
        <v>39361</v>
      </c>
      <c r="M191">
        <f t="shared" si="4"/>
        <v>2025</v>
      </c>
      <c r="N191">
        <f t="shared" si="5"/>
        <v>2</v>
      </c>
    </row>
    <row r="192" spans="1:14" x14ac:dyDescent="0.3">
      <c r="A192">
        <v>1191</v>
      </c>
      <c r="B192" s="1">
        <v>45716</v>
      </c>
      <c r="C192" t="s">
        <v>22</v>
      </c>
      <c r="D192" t="s">
        <v>23</v>
      </c>
      <c r="E192" t="s">
        <v>14</v>
      </c>
      <c r="F192" t="s">
        <v>18</v>
      </c>
      <c r="G192" t="s">
        <v>19</v>
      </c>
      <c r="H192" t="s">
        <v>21</v>
      </c>
      <c r="I192">
        <v>64950</v>
      </c>
      <c r="J192">
        <v>1</v>
      </c>
      <c r="K192">
        <v>0</v>
      </c>
      <c r="L192">
        <v>64950</v>
      </c>
      <c r="M192">
        <f t="shared" si="4"/>
        <v>2025</v>
      </c>
      <c r="N192">
        <f t="shared" si="5"/>
        <v>2</v>
      </c>
    </row>
    <row r="193" spans="1:14" x14ac:dyDescent="0.3">
      <c r="A193">
        <v>1192</v>
      </c>
      <c r="B193" s="1">
        <v>45691</v>
      </c>
      <c r="C193" t="s">
        <v>28</v>
      </c>
      <c r="D193" t="s">
        <v>29</v>
      </c>
      <c r="E193" t="s">
        <v>14</v>
      </c>
      <c r="F193" t="s">
        <v>15</v>
      </c>
      <c r="G193" t="s">
        <v>26</v>
      </c>
      <c r="H193" t="s">
        <v>17</v>
      </c>
      <c r="I193">
        <v>18102</v>
      </c>
      <c r="J193">
        <v>2</v>
      </c>
      <c r="K193">
        <v>15</v>
      </c>
      <c r="L193">
        <v>30773</v>
      </c>
      <c r="M193">
        <f t="shared" si="4"/>
        <v>2025</v>
      </c>
      <c r="N193">
        <f t="shared" si="5"/>
        <v>2</v>
      </c>
    </row>
    <row r="194" spans="1:14" x14ac:dyDescent="0.3">
      <c r="A194">
        <v>1193</v>
      </c>
      <c r="B194" s="1">
        <v>45664</v>
      </c>
      <c r="C194" t="s">
        <v>28</v>
      </c>
      <c r="D194" t="s">
        <v>29</v>
      </c>
      <c r="E194" t="s">
        <v>14</v>
      </c>
      <c r="F194" t="s">
        <v>18</v>
      </c>
      <c r="G194" t="s">
        <v>19</v>
      </c>
      <c r="H194" t="s">
        <v>21</v>
      </c>
      <c r="I194">
        <v>61785</v>
      </c>
      <c r="J194">
        <v>2</v>
      </c>
      <c r="K194">
        <v>5</v>
      </c>
      <c r="L194">
        <v>117391</v>
      </c>
      <c r="M194">
        <f t="shared" si="4"/>
        <v>2025</v>
      </c>
      <c r="N194">
        <f t="shared" si="5"/>
        <v>1</v>
      </c>
    </row>
    <row r="195" spans="1:14" x14ac:dyDescent="0.3">
      <c r="A195">
        <v>1194</v>
      </c>
      <c r="B195" s="1">
        <v>45711</v>
      </c>
      <c r="C195" t="s">
        <v>22</v>
      </c>
      <c r="D195" t="s">
        <v>27</v>
      </c>
      <c r="E195" t="s">
        <v>14</v>
      </c>
      <c r="F195" t="s">
        <v>18</v>
      </c>
      <c r="G195" t="s">
        <v>16</v>
      </c>
      <c r="H195" t="s">
        <v>17</v>
      </c>
      <c r="I195">
        <v>61342</v>
      </c>
      <c r="J195">
        <v>2</v>
      </c>
      <c r="K195">
        <v>0</v>
      </c>
      <c r="L195">
        <v>122684</v>
      </c>
      <c r="M195">
        <f t="shared" ref="M195:M201" si="6">YEAR(B195)</f>
        <v>2025</v>
      </c>
      <c r="N195">
        <f t="shared" ref="N195:N201" si="7">MONTH(B195)</f>
        <v>2</v>
      </c>
    </row>
    <row r="196" spans="1:14" x14ac:dyDescent="0.3">
      <c r="A196">
        <v>1195</v>
      </c>
      <c r="B196" s="1">
        <v>45665</v>
      </c>
      <c r="C196" t="s">
        <v>22</v>
      </c>
      <c r="D196" t="s">
        <v>23</v>
      </c>
      <c r="E196" t="s">
        <v>14</v>
      </c>
      <c r="F196" t="s">
        <v>18</v>
      </c>
      <c r="G196" t="s">
        <v>20</v>
      </c>
      <c r="H196" t="s">
        <v>21</v>
      </c>
      <c r="I196">
        <v>58031</v>
      </c>
      <c r="J196">
        <v>2</v>
      </c>
      <c r="K196">
        <v>0</v>
      </c>
      <c r="L196">
        <v>116062</v>
      </c>
      <c r="M196">
        <f t="shared" si="6"/>
        <v>2025</v>
      </c>
      <c r="N196">
        <f t="shared" si="7"/>
        <v>1</v>
      </c>
    </row>
    <row r="197" spans="1:14" x14ac:dyDescent="0.3">
      <c r="A197">
        <v>1001</v>
      </c>
      <c r="B197" s="1">
        <v>45695</v>
      </c>
      <c r="C197" t="s">
        <v>12</v>
      </c>
      <c r="D197" t="s">
        <v>13</v>
      </c>
      <c r="E197" t="s">
        <v>14</v>
      </c>
      <c r="F197" t="s">
        <v>15</v>
      </c>
      <c r="G197" t="s">
        <v>16</v>
      </c>
      <c r="H197" t="s">
        <v>17</v>
      </c>
      <c r="I197">
        <v>19827</v>
      </c>
      <c r="J197">
        <v>2</v>
      </c>
      <c r="K197">
        <v>15</v>
      </c>
      <c r="L197">
        <v>33705</v>
      </c>
      <c r="M197">
        <f t="shared" si="6"/>
        <v>2025</v>
      </c>
      <c r="N197">
        <f t="shared" si="7"/>
        <v>2</v>
      </c>
    </row>
    <row r="198" spans="1:14" x14ac:dyDescent="0.3">
      <c r="A198">
        <v>1002</v>
      </c>
      <c r="B198" s="1">
        <v>45713</v>
      </c>
      <c r="C198" t="s">
        <v>12</v>
      </c>
      <c r="D198" t="s">
        <v>13</v>
      </c>
      <c r="E198" t="s">
        <v>14</v>
      </c>
      <c r="F198" t="s">
        <v>18</v>
      </c>
      <c r="G198" t="s">
        <v>19</v>
      </c>
      <c r="H198" t="s">
        <v>17</v>
      </c>
      <c r="I198">
        <v>60112</v>
      </c>
      <c r="J198">
        <v>3</v>
      </c>
      <c r="K198">
        <v>0</v>
      </c>
      <c r="L198">
        <v>180336</v>
      </c>
      <c r="M198">
        <f t="shared" si="6"/>
        <v>2025</v>
      </c>
      <c r="N198">
        <f t="shared" si="7"/>
        <v>2</v>
      </c>
    </row>
    <row r="199" spans="1:14" x14ac:dyDescent="0.3">
      <c r="A199">
        <v>1003</v>
      </c>
      <c r="B199" s="1">
        <v>45703</v>
      </c>
      <c r="C199" t="s">
        <v>12</v>
      </c>
      <c r="D199" t="s">
        <v>13</v>
      </c>
      <c r="E199" t="s">
        <v>14</v>
      </c>
      <c r="F199" t="s">
        <v>18</v>
      </c>
      <c r="G199" t="s">
        <v>20</v>
      </c>
      <c r="H199" t="s">
        <v>21</v>
      </c>
      <c r="I199">
        <v>60873</v>
      </c>
      <c r="J199">
        <v>3</v>
      </c>
      <c r="K199">
        <v>10</v>
      </c>
      <c r="L199">
        <v>164357</v>
      </c>
      <c r="M199">
        <f t="shared" si="6"/>
        <v>2025</v>
      </c>
      <c r="N199">
        <f t="shared" si="7"/>
        <v>2</v>
      </c>
    </row>
    <row r="200" spans="1:14" x14ac:dyDescent="0.3">
      <c r="A200">
        <v>1004</v>
      </c>
      <c r="B200" s="1">
        <v>45675</v>
      </c>
      <c r="C200" t="s">
        <v>22</v>
      </c>
      <c r="D200" t="s">
        <v>23</v>
      </c>
      <c r="E200" t="s">
        <v>14</v>
      </c>
      <c r="F200" t="s">
        <v>18</v>
      </c>
      <c r="G200" t="s">
        <v>19</v>
      </c>
      <c r="H200" t="s">
        <v>21</v>
      </c>
      <c r="I200">
        <v>60285</v>
      </c>
      <c r="J200">
        <v>1</v>
      </c>
      <c r="K200">
        <v>0</v>
      </c>
      <c r="L200">
        <v>60285</v>
      </c>
      <c r="M200">
        <f t="shared" si="6"/>
        <v>2025</v>
      </c>
      <c r="N200">
        <f t="shared" si="7"/>
        <v>1</v>
      </c>
    </row>
    <row r="201" spans="1:14" x14ac:dyDescent="0.3">
      <c r="A201">
        <v>1005</v>
      </c>
      <c r="B201" s="1">
        <v>45659</v>
      </c>
      <c r="C201" t="s">
        <v>12</v>
      </c>
      <c r="D201" t="s">
        <v>24</v>
      </c>
      <c r="E201" t="s">
        <v>14</v>
      </c>
      <c r="F201" t="s">
        <v>25</v>
      </c>
      <c r="G201" t="s">
        <v>20</v>
      </c>
      <c r="H201" t="s">
        <v>21</v>
      </c>
      <c r="I201">
        <v>27642</v>
      </c>
      <c r="J201">
        <v>3</v>
      </c>
      <c r="K201">
        <v>15</v>
      </c>
      <c r="L201">
        <v>70487</v>
      </c>
      <c r="M201">
        <f t="shared" si="6"/>
        <v>2025</v>
      </c>
      <c r="N201">
        <f t="shared" si="7"/>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8"/>
  <sheetViews>
    <sheetView showGridLines="0" showRowColHeaders="0" workbookViewId="0">
      <selection activeCell="G3" sqref="G3:H8"/>
    </sheetView>
  </sheetViews>
  <sheetFormatPr defaultRowHeight="14.4" x14ac:dyDescent="0.3"/>
  <cols>
    <col min="1" max="1" width="12.5546875" bestFit="1" customWidth="1"/>
    <col min="2" max="2" width="19.77734375" bestFit="1" customWidth="1"/>
    <col min="4" max="4" width="12.5546875" bestFit="1" customWidth="1"/>
    <col min="5" max="5" width="19.77734375" bestFit="1" customWidth="1"/>
    <col min="7" max="7" width="12.5546875" bestFit="1" customWidth="1"/>
    <col min="8" max="8" width="19.77734375" bestFit="1" customWidth="1"/>
    <col min="10" max="10" width="12.5546875" bestFit="1" customWidth="1"/>
    <col min="11" max="11" width="21.109375" bestFit="1" customWidth="1"/>
  </cols>
  <sheetData>
    <row r="3" spans="1:11" x14ac:dyDescent="0.3">
      <c r="A3" s="2" t="s">
        <v>37</v>
      </c>
      <c r="B3" t="s">
        <v>39</v>
      </c>
      <c r="D3" s="2" t="s">
        <v>37</v>
      </c>
      <c r="E3" t="s">
        <v>39</v>
      </c>
      <c r="G3" s="2" t="s">
        <v>37</v>
      </c>
      <c r="H3" t="s">
        <v>39</v>
      </c>
      <c r="J3" s="2" t="s">
        <v>37</v>
      </c>
      <c r="K3" t="s">
        <v>41</v>
      </c>
    </row>
    <row r="4" spans="1:11" x14ac:dyDescent="0.3">
      <c r="A4" s="3" t="s">
        <v>18</v>
      </c>
      <c r="B4" s="4">
        <v>8564116</v>
      </c>
      <c r="D4" s="3" t="s">
        <v>12</v>
      </c>
      <c r="E4" s="4">
        <v>3590889</v>
      </c>
      <c r="G4" s="3" t="s">
        <v>19</v>
      </c>
      <c r="H4" s="4">
        <v>3465709</v>
      </c>
      <c r="J4" s="3">
        <v>1</v>
      </c>
      <c r="K4" s="4">
        <v>58</v>
      </c>
    </row>
    <row r="5" spans="1:11" x14ac:dyDescent="0.3">
      <c r="A5" s="3" t="s">
        <v>25</v>
      </c>
      <c r="B5" s="4">
        <v>3420466</v>
      </c>
      <c r="D5" s="5" t="s">
        <v>18</v>
      </c>
      <c r="E5" s="4">
        <v>2349720</v>
      </c>
      <c r="G5" s="3" t="s">
        <v>16</v>
      </c>
      <c r="H5" s="4">
        <v>2267418</v>
      </c>
      <c r="J5" s="3">
        <v>2</v>
      </c>
      <c r="K5" s="4">
        <v>73</v>
      </c>
    </row>
    <row r="6" spans="1:11" x14ac:dyDescent="0.3">
      <c r="A6" s="3" t="s">
        <v>15</v>
      </c>
      <c r="B6" s="4">
        <v>2168992</v>
      </c>
      <c r="D6" s="5" t="s">
        <v>25</v>
      </c>
      <c r="E6" s="4">
        <v>727270</v>
      </c>
      <c r="G6" s="3" t="s">
        <v>20</v>
      </c>
      <c r="H6" s="4">
        <v>4280294</v>
      </c>
      <c r="J6" s="3">
        <v>3</v>
      </c>
      <c r="K6" s="4">
        <v>69</v>
      </c>
    </row>
    <row r="7" spans="1:11" x14ac:dyDescent="0.3">
      <c r="A7" s="3" t="s">
        <v>38</v>
      </c>
      <c r="B7" s="4">
        <v>14153574</v>
      </c>
      <c r="D7" s="5" t="s">
        <v>15</v>
      </c>
      <c r="E7" s="4">
        <v>513899</v>
      </c>
      <c r="G7" s="3" t="s">
        <v>26</v>
      </c>
      <c r="H7" s="4">
        <v>4140153</v>
      </c>
      <c r="J7" s="3" t="s">
        <v>40</v>
      </c>
      <c r="K7" s="4"/>
    </row>
    <row r="8" spans="1:11" x14ac:dyDescent="0.3">
      <c r="D8" s="3" t="s">
        <v>31</v>
      </c>
      <c r="E8" s="4">
        <v>3666986</v>
      </c>
      <c r="G8" s="3" t="s">
        <v>38</v>
      </c>
      <c r="H8" s="4">
        <v>14153574</v>
      </c>
      <c r="J8" s="3" t="s">
        <v>38</v>
      </c>
      <c r="K8" s="4">
        <v>200</v>
      </c>
    </row>
    <row r="9" spans="1:11" x14ac:dyDescent="0.3">
      <c r="D9" s="5" t="s">
        <v>18</v>
      </c>
      <c r="E9" s="4">
        <v>2232779</v>
      </c>
    </row>
    <row r="10" spans="1:11" x14ac:dyDescent="0.3">
      <c r="A10" s="2" t="s">
        <v>37</v>
      </c>
      <c r="B10" t="s">
        <v>39</v>
      </c>
      <c r="D10" s="5" t="s">
        <v>25</v>
      </c>
      <c r="E10" s="4">
        <v>1040928</v>
      </c>
    </row>
    <row r="11" spans="1:11" x14ac:dyDescent="0.3">
      <c r="A11" s="3" t="s">
        <v>29</v>
      </c>
      <c r="B11" s="4">
        <v>1032297</v>
      </c>
      <c r="D11" s="5" t="s">
        <v>15</v>
      </c>
      <c r="E11" s="4">
        <v>393279</v>
      </c>
      <c r="G11" s="2" t="s">
        <v>37</v>
      </c>
      <c r="H11" t="s">
        <v>39</v>
      </c>
    </row>
    <row r="12" spans="1:11" x14ac:dyDescent="0.3">
      <c r="A12" s="3" t="s">
        <v>30</v>
      </c>
      <c r="B12" s="4">
        <v>812378</v>
      </c>
      <c r="D12" s="3" t="s">
        <v>28</v>
      </c>
      <c r="E12" s="4">
        <v>3438013</v>
      </c>
      <c r="G12" s="3">
        <v>0</v>
      </c>
      <c r="H12" s="4">
        <v>4406971</v>
      </c>
    </row>
    <row r="13" spans="1:11" x14ac:dyDescent="0.3">
      <c r="A13" s="3" t="s">
        <v>33</v>
      </c>
      <c r="B13" s="4">
        <v>1796668</v>
      </c>
      <c r="D13" s="5" t="s">
        <v>18</v>
      </c>
      <c r="E13" s="4">
        <v>1831552</v>
      </c>
      <c r="G13" s="5" t="s">
        <v>18</v>
      </c>
      <c r="H13" s="4">
        <v>2989271</v>
      </c>
    </row>
    <row r="14" spans="1:11" x14ac:dyDescent="0.3">
      <c r="A14" s="3" t="s">
        <v>34</v>
      </c>
      <c r="B14" s="4">
        <v>1593338</v>
      </c>
      <c r="D14" s="5" t="s">
        <v>25</v>
      </c>
      <c r="E14" s="4">
        <v>990711</v>
      </c>
      <c r="G14" s="5" t="s">
        <v>25</v>
      </c>
      <c r="H14" s="4">
        <v>912217</v>
      </c>
    </row>
    <row r="15" spans="1:11" x14ac:dyDescent="0.3">
      <c r="A15" s="3" t="s">
        <v>32</v>
      </c>
      <c r="B15" s="4">
        <v>1870318</v>
      </c>
      <c r="D15" s="5" t="s">
        <v>15</v>
      </c>
      <c r="E15" s="4">
        <v>615750</v>
      </c>
      <c r="G15" s="5" t="s">
        <v>15</v>
      </c>
      <c r="H15" s="4">
        <v>505483</v>
      </c>
    </row>
    <row r="16" spans="1:11" x14ac:dyDescent="0.3">
      <c r="A16" s="3" t="s">
        <v>24</v>
      </c>
      <c r="B16" s="4">
        <v>1472222</v>
      </c>
      <c r="D16" s="3" t="s">
        <v>22</v>
      </c>
      <c r="E16" s="4">
        <v>3457686</v>
      </c>
      <c r="G16" s="3">
        <v>5</v>
      </c>
      <c r="H16" s="4">
        <v>3147122</v>
      </c>
    </row>
    <row r="17" spans="1:8" x14ac:dyDescent="0.3">
      <c r="A17" s="3" t="s">
        <v>27</v>
      </c>
      <c r="B17" s="4">
        <v>1458620</v>
      </c>
      <c r="D17" s="5" t="s">
        <v>18</v>
      </c>
      <c r="E17" s="4">
        <v>2150065</v>
      </c>
      <c r="G17" s="5" t="s">
        <v>18</v>
      </c>
      <c r="H17" s="4">
        <v>1506776</v>
      </c>
    </row>
    <row r="18" spans="1:8" x14ac:dyDescent="0.3">
      <c r="A18" s="3" t="s">
        <v>13</v>
      </c>
      <c r="B18" s="4">
        <v>2118667</v>
      </c>
      <c r="D18" s="5" t="s">
        <v>25</v>
      </c>
      <c r="E18" s="4">
        <v>661557</v>
      </c>
      <c r="G18" s="5" t="s">
        <v>25</v>
      </c>
      <c r="H18" s="4">
        <v>1028502</v>
      </c>
    </row>
    <row r="19" spans="1:8" x14ac:dyDescent="0.3">
      <c r="A19" s="3" t="s">
        <v>23</v>
      </c>
      <c r="B19" s="4">
        <v>1999066</v>
      </c>
      <c r="D19" s="5" t="s">
        <v>15</v>
      </c>
      <c r="E19" s="4">
        <v>646064</v>
      </c>
      <c r="G19" s="5" t="s">
        <v>15</v>
      </c>
      <c r="H19" s="4">
        <v>611844</v>
      </c>
    </row>
    <row r="20" spans="1:8" x14ac:dyDescent="0.3">
      <c r="A20" s="3" t="s">
        <v>38</v>
      </c>
      <c r="B20" s="4">
        <v>14153574</v>
      </c>
      <c r="D20" s="3" t="s">
        <v>38</v>
      </c>
      <c r="E20" s="4">
        <v>14153574</v>
      </c>
      <c r="G20" s="3">
        <v>10</v>
      </c>
      <c r="H20" s="4">
        <v>3071556</v>
      </c>
    </row>
    <row r="21" spans="1:8" x14ac:dyDescent="0.3">
      <c r="G21" s="5" t="s">
        <v>18</v>
      </c>
      <c r="H21" s="4">
        <v>1997667</v>
      </c>
    </row>
    <row r="22" spans="1:8" x14ac:dyDescent="0.3">
      <c r="G22" s="5" t="s">
        <v>25</v>
      </c>
      <c r="H22" s="4">
        <v>598853</v>
      </c>
    </row>
    <row r="23" spans="1:8" x14ac:dyDescent="0.3">
      <c r="G23" s="5" t="s">
        <v>15</v>
      </c>
      <c r="H23" s="4">
        <v>475036</v>
      </c>
    </row>
    <row r="24" spans="1:8" x14ac:dyDescent="0.3">
      <c r="G24" s="3">
        <v>15</v>
      </c>
      <c r="H24" s="4">
        <v>3527925</v>
      </c>
    </row>
    <row r="25" spans="1:8" x14ac:dyDescent="0.3">
      <c r="G25" s="5" t="s">
        <v>18</v>
      </c>
      <c r="H25" s="4">
        <v>2070402</v>
      </c>
    </row>
    <row r="26" spans="1:8" x14ac:dyDescent="0.3">
      <c r="G26" s="5" t="s">
        <v>25</v>
      </c>
      <c r="H26" s="4">
        <v>880894</v>
      </c>
    </row>
    <row r="27" spans="1:8" x14ac:dyDescent="0.3">
      <c r="G27" s="5" t="s">
        <v>15</v>
      </c>
      <c r="H27" s="4">
        <v>576629</v>
      </c>
    </row>
    <row r="28" spans="1:8" x14ac:dyDescent="0.3">
      <c r="G28" s="3" t="s">
        <v>38</v>
      </c>
      <c r="H28" s="4">
        <v>14153574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3:O4"/>
  <sheetViews>
    <sheetView showGridLines="0" showRowColHeaders="0" tabSelected="1" topLeftCell="C4" workbookViewId="0">
      <selection activeCell="R35" sqref="R35"/>
    </sheetView>
  </sheetViews>
  <sheetFormatPr defaultRowHeight="14.4" x14ac:dyDescent="0.3"/>
  <cols>
    <col min="1" max="16384" width="8.88671875" style="6"/>
  </cols>
  <sheetData>
    <row r="3" spans="9:15" ht="39" x14ac:dyDescent="0.9">
      <c r="I3" s="7"/>
      <c r="J3" s="8"/>
      <c r="K3" s="8" t="s">
        <v>42</v>
      </c>
      <c r="L3" s="9"/>
      <c r="M3" s="9"/>
      <c r="N3" s="9"/>
      <c r="O3" s="9"/>
    </row>
    <row r="4" spans="9:15" ht="33.6" x14ac:dyDescent="0.65">
      <c r="J4" s="9"/>
      <c r="K4" s="9"/>
      <c r="L4" s="9"/>
      <c r="M4" s="9"/>
      <c r="N4" s="9"/>
      <c r="O4"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2026-01-07T18:27:59Z</dcterms:created>
  <dcterms:modified xsi:type="dcterms:W3CDTF">2026-01-08T05:18:49Z</dcterms:modified>
</cp:coreProperties>
</file>